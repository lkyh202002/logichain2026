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Assumptions" sheetId="3" state="visible" r:id="rId5"/>
    <sheet name="BOM Cost Build-up" sheetId="4" state="visible" r:id="rId6"/>
    <sheet name="RM &amp; Supplier Cost" sheetId="5" state="visible" r:id="rId7"/>
    <sheet name="Capacity Check" sheetId="6" state="visible" r:id="rId8"/>
    <sheet name="Checks" sheetId="7" state="visible" r:id="rId9"/>
    <sheet name="Terms Explanation" sheetId="8" state="visible" r:id="rId10"/>
    <sheet name="BOM &amp; COGS Ratio" sheetId="9" state="visible" r:id="rId11"/>
    <sheet name="Supplier Profile" sheetId="10" state="visible" r:id="rId12"/>
    <sheet name="Factory Informati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<sst xmlns="http://schemas.openxmlformats.org/spreadsheetml/2006/main" count="749" uniqueCount="349">
  <si>
    <t xml:space="preserve">LogiChain 2025 - Base-Case Financial Model</t>
  </si>
  <si>
    <t xml:space="preserve">Baseline COGS của FB_SET_001 (Front Brake Assembly) TRƯỚC khi có thông báo tăng giá</t>
  </si>
  <si>
    <t xml:space="preserve">Version v1.0 - Base case · Nguồn: LogiChain 2025 Data Case Study Hackathon (LOGin to LogiChain)</t>
  </si>
  <si>
    <t xml:space="preserve">Kết quả chính (Base case)</t>
  </si>
  <si>
    <t xml:space="preserve">COGS mỗi bộ (USD/set)</t>
  </si>
  <si>
    <t xml:space="preserve">Sản lượng base (bộ/tháng)</t>
  </si>
  <si>
    <t xml:space="preserve">COGS tháng (USD)</t>
  </si>
  <si>
    <t xml:space="preserve">COGS năm (USD)</t>
  </si>
  <si>
    <t xml:space="preserve">NVL lớn nhất - % COGS</t>
  </si>
  <si>
    <t xml:space="preserve">NCC lớn nhất - % COGS</t>
  </si>
  <si>
    <t xml:space="preserve">Quốc gia phụ thuộc nhiều nhất - % COGS</t>
  </si>
  <si>
    <t xml:space="preserve">Trạng thái kiểm tra mô hình</t>
  </si>
  <si>
    <t xml:space="preserve">Cấu trúc file</t>
  </si>
  <si>
    <t xml:space="preserve">Kết quả: COGS/bộ, COGS tháng/năm, cơ cấu theo linh kiện - NVL - NCC - quốc gia, độ nhạy giá, memo hao hụt &amp; công suất</t>
  </si>
  <si>
    <t xml:space="preserve">Mọi giả định &amp; đòn bẩy giá (price levers = 0% ở base case), sản lượng, bước độ nhạy</t>
  </si>
  <si>
    <t xml:space="preserve">Roll-up chi phí Level 1 (linh kiện) và Level 2 (NVL) từ sheet BOM &amp; COGS Ratio</t>
  </si>
  <si>
    <t xml:space="preserve">Phân bổ COGS theo NVL, NCC (supply ratio x đơn giá) và quốc gia xuất xứ</t>
  </si>
  <si>
    <t xml:space="preserve">Memo: sản lượng base so với công suất hiệu dụng từng line</t>
  </si>
  <si>
    <t xml:space="preserve">12 kiểm tra tính nhất quán dữ liệu &amp; mô hình</t>
  </si>
  <si>
    <t xml:space="preserve">Dữ liệu gốc (giữ nguyên) - cùng 3 sheet dữ liệu gốc còn lại</t>
  </si>
  <si>
    <t xml:space="preserve">Quy ước màu</t>
  </si>
  <si>
    <t xml:space="preserve">1,234</t>
  </si>
  <si>
    <t xml:space="preserve">Chữ xanh dương = input nhập tay / đòn bẩy kịch bản</t>
  </si>
  <si>
    <t xml:space="preserve">Chữ xanh lá = công thức lấy dữ liệu từ sheet khác</t>
  </si>
  <si>
    <t xml:space="preserve">Chữ đen = công thức tính trong cùng sheet</t>
  </si>
  <si>
    <t xml:space="preserve">Nền vàng = giả định chính / ô cần điền khi có thông tin mới</t>
  </si>
  <si>
    <t xml:space="preserve">Phương pháp &amp; giả định chính</t>
  </si>
  <si>
    <t xml:space="preserve">1. COGS/bộ = Σ COGS Value (USD) của 16 linh kiện Level 1. COGS Value đã bao gồm số lượng/bộ (kiểm chứng: COGS Ratio của đề = COGS Value / tổng).</t>
  </si>
  <si>
    <t xml:space="preserve">2. Level 2 phân rã 100% COGS của linh kiện cha thành NVL (COGS NVL = Ratio x COGS cha) =&gt; toàn bộ COGS được coi là do NVL quyết định (đề không tách nhân công / overhead).</t>
  </si>
  <si>
    <t xml:space="preserve">3. NVL nhiều nhà cung cấp: phân bổ giá trị theo value share = supply ratio x đơn giá / Σ(supply ratio x đơn giá).</t>
  </si>
  <si>
    <t xml:space="preserve">4. Kịch bản giá: COGS NVL mới = COGS base x (giá bình quân gia quyền mới / giá bình quân gia quyền base). Base case: mọi price change = 0% =&gt; Scenario = Base.</t>
  </si>
  <si>
    <t xml:space="preserve">5. Sản lượng base = Monthly capacity L0 x Utilization L0 = 24,000 x 85% = 20,400 bộ/tháng; 12 tháng/năm. Có ô override nếu đề cho nhu cầu thực tế.</t>
  </si>
  <si>
    <t xml:space="preserve">6. Tỷ lệ hao hụt (waste) KHÔNG đưa vào base COGS (giữ đúng số liệu BOM); chỉ trình bày ở dạng memo.</t>
  </si>
  <si>
    <t xml:space="preserve">7. OEE không dùng để tính sản lượng vì Utilization (theo định nghĩa của đề) đã phản ánh mức sử dụng thực tế.</t>
  </si>
  <si>
    <t xml:space="preserve">Khi có thông báo tăng giá</t>
  </si>
  <si>
    <t xml:space="preserve">Mở sheet Assumptions, mục C: nhập % tăng giá vào cột H (Price Change vs Base) cho đúng NCC / NVL (10% = 0.10). Nếu đề cho giá mới dạng USD/pc: % = giá mới / giá cũ - 1.</t>
  </si>
  <si>
    <t xml:space="preserve">Summary tự tính cột Scenario và Δ; cột Base Case giữ nguyên làm mốc so sánh. Bảng độ nhạy (mục 6 của Summary) cho biết trước mức tác động khi từng NCC tăng giá 5-20%.</t>
  </si>
  <si>
    <t xml:space="preserve">Base-Case Summary - FB_SET_001 Front Brake Assembly</t>
  </si>
  <si>
    <t xml:space="preserve">Baseline before the price-increase announcement · USD · per set and monthly / annual run-rate</t>
  </si>
  <si>
    <t xml:space="preserve">1. Key Metrics</t>
  </si>
  <si>
    <t xml:space="preserve">Metric</t>
  </si>
  <si>
    <t xml:space="preserve">Base Case</t>
  </si>
  <si>
    <t xml:space="preserve">Scenario (price levers)</t>
  </si>
  <si>
    <t xml:space="preserve">Δ vs Base</t>
  </si>
  <si>
    <t xml:space="preserve">Δ %</t>
  </si>
  <si>
    <t xml:space="preserve">COGS per set (USD)</t>
  </si>
  <si>
    <t xml:space="preserve">Monthly output (sets)</t>
  </si>
  <si>
    <t xml:space="preserve">Annual output (sets)</t>
  </si>
  <si>
    <t xml:space="preserve">Monthly COGS (USD)</t>
  </si>
  <si>
    <t xml:space="preserve">Annual COGS (USD)</t>
  </si>
  <si>
    <t xml:space="preserve">Model checks</t>
  </si>
  <si>
    <t xml:space="preserve">2. COGS Structure by Component (Level 1)</t>
  </si>
  <si>
    <t xml:space="preserve">#</t>
  </si>
  <si>
    <t xml:space="preserve">Part Code</t>
  </si>
  <si>
    <t xml:space="preserve">Part Name</t>
  </si>
  <si>
    <t xml:space="preserve">Qty / Set</t>
  </si>
  <si>
    <t xml:space="preserve">COGS (USD/set)</t>
  </si>
  <si>
    <t xml:space="preserve">% of COGS</t>
  </si>
  <si>
    <t xml:space="preserve">Rank</t>
  </si>
  <si>
    <t xml:space="preserve">Scenario (USD/set)</t>
  </si>
  <si>
    <t xml:space="preserve">Δ vs Base (USD/set)</t>
  </si>
  <si>
    <t xml:space="preserve">Total</t>
  </si>
  <si>
    <t xml:space="preserve">3. COGS Structure by Raw Material (Level 2)</t>
  </si>
  <si>
    <t xml:space="preserve">Material Code</t>
  </si>
  <si>
    <t xml:space="preserve">Material Name</t>
  </si>
  <si>
    <t xml:space="preserve"># Suppliers</t>
  </si>
  <si>
    <t xml:space="preserve">4. COGS by Supplier</t>
  </si>
  <si>
    <t xml:space="preserve">Supplier</t>
  </si>
  <si>
    <t xml:space="preserve">Origin</t>
  </si>
  <si>
    <t xml:space="preserve"># Materials</t>
  </si>
  <si>
    <t xml:space="preserve">Annual Spend (USD)</t>
  </si>
  <si>
    <t xml:space="preserve">5. COGS by Origin Country</t>
  </si>
  <si>
    <t xml:space="preserve">6. Price Sensitivity - Δ COGS if ONE supplier raises prices on all its materials</t>
  </si>
  <si>
    <t xml:space="preserve">Δ COGS per set (USD)</t>
  </si>
  <si>
    <t xml:space="preserve">Δ annual COGS (USD)</t>
  </si>
  <si>
    <t xml:space="preserve">Base COGS (USD/set)</t>
  </si>
  <si>
    <t xml:space="preserve">All suppliers (uniform increase)</t>
  </si>
  <si>
    <t xml:space="preserve">Δ% of total COGS = supplier's share of COGS x price increase. Linear because the model passes material price changes 1:1 into COGS.</t>
  </si>
  <si>
    <t xml:space="preserve">7. Memo - Production Waste (NOT included in base COGS)</t>
  </si>
  <si>
    <t xml:space="preserve">BOM standard COGS per set (USD)</t>
  </si>
  <si>
    <t xml:space="preserve">Component-level waste-adjusted COGS (USD/set)</t>
  </si>
  <si>
    <t xml:space="preserve">Σ component COGS / (1 - line waste rate)</t>
  </si>
  <si>
    <t xml:space="preserve">L0 assembly waste rate</t>
  </si>
  <si>
    <t xml:space="preserve">Fully waste-adjusted COGS per set (USD)</t>
  </si>
  <si>
    <t xml:space="preserve">Waste uplift vs BOM (USD/set)</t>
  </si>
  <si>
    <t xml:space="preserve">Monthly cost of waste at base volume (USD)</t>
  </si>
  <si>
    <t xml:space="preserve">Annual cost of waste (USD)</t>
  </si>
  <si>
    <t xml:space="preserve">Use only if the case treats the BOM COGS as a standard (zero-waste) cost.</t>
  </si>
  <si>
    <t xml:space="preserve">8. Memo - Capacity Check at Base-Case Volume</t>
  </si>
  <si>
    <t xml:space="preserve">Lines with shortfall</t>
  </si>
  <si>
    <t xml:space="preserve">Bottleneck line</t>
  </si>
  <si>
    <t xml:space="preserve">Max sets/month supported by bottleneck</t>
  </si>
  <si>
    <t xml:space="preserve">See 'Capacity Check' sheet - verify capacity units against the case brief</t>
  </si>
  <si>
    <t xml:space="preserve">Assumptions &amp; Inputs</t>
  </si>
  <si>
    <t xml:space="preserve">Base case = supplier prices before any price-increase announcement (all price levers = 0%). Blue = input · Green = link to another sheet · Black = formula · Yellow = key assumption</t>
  </si>
  <si>
    <t xml:space="preserve">A. General</t>
  </si>
  <si>
    <t xml:space="preserve">Currency</t>
  </si>
  <si>
    <t xml:space="preserve">USD</t>
  </si>
  <si>
    <t xml:space="preserve">All costs in the case data are quoted in USD</t>
  </si>
  <si>
    <t xml:space="preserve">Product item code</t>
  </si>
  <si>
    <t xml:space="preserve">Source: BOM &amp; COGS Ratio, Product Item Code</t>
  </si>
  <si>
    <t xml:space="preserve">Product name</t>
  </si>
  <si>
    <t xml:space="preserve">Source: Factory Information, Line L0</t>
  </si>
  <si>
    <t xml:space="preserve">Months per year</t>
  </si>
  <si>
    <t xml:space="preserve">months</t>
  </si>
  <si>
    <t xml:space="preserve">Assumption: 12-month run-rate (no seasonality / demand data in the dataset)</t>
  </si>
  <si>
    <t xml:space="preserve">B. Production Volume</t>
  </si>
  <si>
    <t xml:space="preserve">L0 assembly line - monthly capacity</t>
  </si>
  <si>
    <t xml:space="preserve">sets/month</t>
  </si>
  <si>
    <t xml:space="preserve">Source: Factory Information, Line L0 (FB_SET_001 Front Brake Assembly)</t>
  </si>
  <si>
    <t xml:space="preserve">L0 assembly line - utilization</t>
  </si>
  <si>
    <t xml:space="preserve">%</t>
  </si>
  <si>
    <t xml:space="preserve">Source: Factory Information (capacity actually utilized vs. maximum capacity)</t>
  </si>
  <si>
    <t xml:space="preserve">Calculated monthly output</t>
  </si>
  <si>
    <t xml:space="preserve">Capacity x Utilization (OEE not applied: utilization already reflects actual output)</t>
  </si>
  <si>
    <t xml:space="preserve">Monthly output override (optional)</t>
  </si>
  <si>
    <t xml:space="preserve">Leave blank to use calculated output; enter the demand figure here if the case brief gives one</t>
  </si>
  <si>
    <t xml:space="preserve">Base-case monthly output (used)</t>
  </si>
  <si>
    <t xml:space="preserve">Key assumption - drives monthly / annual COGS and material requirements</t>
  </si>
  <si>
    <t xml:space="preserve">Base-case annual output</t>
  </si>
  <si>
    <t xml:space="preserve">sets/year</t>
  </si>
  <si>
    <t xml:space="preserve">C. Raw-Material Supplier Prices &amp; Price-Change Levers</t>
  </si>
  <si>
    <t xml:space="preserve">Supply Ratio</t>
  </si>
  <si>
    <t xml:space="preserve">Base Unit Price (USD/pc)</t>
  </si>
  <si>
    <t xml:space="preserve">Price Change vs Base</t>
  </si>
  <si>
    <t xml:space="preserve">Scenario Unit Price (USD/pc)</t>
  </si>
  <si>
    <t xml:space="preserve">Source</t>
  </si>
  <si>
    <t xml:space="preserve">Supplier Profile row 3</t>
  </si>
  <si>
    <t xml:space="preserve">Supplier Profile row 4</t>
  </si>
  <si>
    <t xml:space="preserve">Supplier Profile row 5</t>
  </si>
  <si>
    <t xml:space="preserve">Supplier Profile row 6</t>
  </si>
  <si>
    <t xml:space="preserve">Supplier Profile row 7</t>
  </si>
  <si>
    <t xml:space="preserve">Supplier Profile row 8</t>
  </si>
  <si>
    <t xml:space="preserve">Supplier Profile row 9</t>
  </si>
  <si>
    <t xml:space="preserve">Supplier Profile row 10</t>
  </si>
  <si>
    <t xml:space="preserve">Supplier Profile row 11</t>
  </si>
  <si>
    <t xml:space="preserve">Supplier Profile row 12</t>
  </si>
  <si>
    <t xml:space="preserve">Supplier Profile row 13</t>
  </si>
  <si>
    <t xml:space="preserve">Base case: every lever in column H stays at 0%. When a price increase is announced, enter it as a fraction (10% = 0.10) for the affected supplier / material; Base-case outputs stay frozen and the Scenario columns show the impact.</t>
  </si>
  <si>
    <t xml:space="preserve">D. Sensitivity Steps (price increase applied to one supplier)</t>
  </si>
  <si>
    <t xml:space="preserve">Price increase steps</t>
  </si>
  <si>
    <t xml:space="preserve">Used in Summary sensitivity table</t>
  </si>
  <si>
    <t xml:space="preserve">BOM Cost Build-up - FB_SET_001 Front Brake Assembly</t>
  </si>
  <si>
    <t xml:space="preserve">Source: 'BOM &amp; COGS Ratio' sheet. All values per 1 finished set. COGS Value already includes Qty per set (source ratio = COGS Value / total).</t>
  </si>
  <si>
    <t xml:space="preserve">1. Level 1 - Components (per set)</t>
  </si>
  <si>
    <t xml:space="preserve">Unit</t>
  </si>
  <si>
    <t xml:space="preserve">Production Line</t>
  </si>
  <si>
    <t xml:space="preserve">COGS Value (USD/set)</t>
  </si>
  <si>
    <t xml:space="preserve">Unit Cost (USD/pc)</t>
  </si>
  <si>
    <t xml:space="preserve">COGS Share (calc)</t>
  </si>
  <si>
    <t xml:space="preserve">COGS Ratio (source)</t>
  </si>
  <si>
    <t xml:space="preserve">|Diff| calc vs source</t>
  </si>
  <si>
    <t xml:space="preserve">Level-2 Roll-up (USD/set)</t>
  </si>
  <si>
    <t xml:space="preserve">|Diff| roll-up vs L1</t>
  </si>
  <si>
    <t xml:space="preserve">Line Waste Rate</t>
  </si>
  <si>
    <t xml:space="preserve">Waste-adj. COGS (USD/set) - memo</t>
  </si>
  <si>
    <t xml:space="preserve">Scenario COGS (USD/set)</t>
  </si>
  <si>
    <t xml:space="preserve">Total per set</t>
  </si>
  <si>
    <t xml:space="preserve">Source ratios are rounded to 4 decimals, so |Diff| up to 0.00005 is expected. Waste-adj. COGS = COGS / (1 - line waste rate) is a memo only (not in base COGS).</t>
  </si>
  <si>
    <t xml:space="preserve">2. Level 2 - Raw-Material Decomposition of each Component (per set)</t>
  </si>
  <si>
    <t xml:space="preserve">Parent Code</t>
  </si>
  <si>
    <t xml:space="preserve">Parent Name</t>
  </si>
  <si>
    <t xml:space="preserve">Share of Parent COGS (source)</t>
  </si>
  <si>
    <t xml:space="preserve">Parent COGS (USD/set)</t>
  </si>
  <si>
    <t xml:space="preserve">Material COGS (USD/set, source)</t>
  </si>
  <si>
    <t xml:space="preserve">Recalc = Share x Parent</t>
  </si>
  <si>
    <t xml:space="preserve">|Diff| recalc vs source</t>
  </si>
  <si>
    <t xml:space="preserve">Material Price Index (Scenario/Base)</t>
  </si>
  <si>
    <t xml:space="preserve">% of Total COGS (base)</t>
  </si>
  <si>
    <t xml:space="preserve">Level 2 splits 100% of each component's COGS into raw materials, so the model treats component COGS as fully raw-material driven (no labour/overhead split is given in the data).</t>
  </si>
  <si>
    <t xml:space="preserve">Raw-Material &amp; Supplier Cost Allocation (per set, monthly, annual)</t>
  </si>
  <si>
    <t xml:space="preserve">Multi-sourced materials are split by value share = supply ratio x unit price / Σ(supply ratio x unit price). Scenario material cost = Base x (weighted scenario price / weighted base price).</t>
  </si>
  <si>
    <t xml:space="preserve">1. Cost by Raw Material (per set)</t>
  </si>
  <si>
    <t xml:space="preserve"># BOM Lines</t>
  </si>
  <si>
    <t xml:space="preserve">Σ Supply Ratio</t>
  </si>
  <si>
    <t xml:space="preserve">% of Total COGS</t>
  </si>
  <si>
    <t xml:space="preserve">Wtd Avg Base Price (USD/pc)</t>
  </si>
  <si>
    <t xml:space="preserve">Wtd Avg Scenario Price (USD/pc)</t>
  </si>
  <si>
    <t xml:space="preserve">Price Index (Scenario/Base)</t>
  </si>
  <si>
    <t xml:space="preserve">Implied Purchase Qty (pcs/set)</t>
  </si>
  <si>
    <t xml:space="preserve">Monthly Requirement (pcs)</t>
  </si>
  <si>
    <t xml:space="preserve">Implied purchase qty = Base COGS / weighted average unit price (memo: translates the BOM cost into pieces bought at Supplier Profile prices).</t>
  </si>
  <si>
    <t xml:space="preserve">2. Cost by Supplier x Material (per set, monthly, annual)</t>
  </si>
  <si>
    <t xml:space="preserve">Value Share in Material</t>
  </si>
  <si>
    <t xml:space="preserve">Base Monthly Spend (USD)</t>
  </si>
  <si>
    <t xml:space="preserve">Base Annual Spend (USD)</t>
  </si>
  <si>
    <t xml:space="preserve">Implied Monthly Qty (pcs)</t>
  </si>
  <si>
    <t xml:space="preserve">3. Cost by Supplier</t>
  </si>
  <si>
    <t xml:space="preserve"># Materials Supplied</t>
  </si>
  <si>
    <t xml:space="preserve">Δ vs Base (%)</t>
  </si>
  <si>
    <t xml:space="preserve">4. Cost by Origin Country</t>
  </si>
  <si>
    <t xml:space="preserve">Capacity Check (memo) - does the base-case volume fit each production line?</t>
  </si>
  <si>
    <t xml:space="preserve">Required output = Qty per set x base-case monthly output. Effective output = Monthly capacity x Utilization. Each line runs 24 hours (Factory Information note).</t>
  </si>
  <si>
    <t xml:space="preserve">Line</t>
  </si>
  <si>
    <t xml:space="preserve">Part Code(s)</t>
  </si>
  <si>
    <t xml:space="preserve">Part Name(s)</t>
  </si>
  <si>
    <t xml:space="preserve">Qty per Set on Line</t>
  </si>
  <si>
    <t xml:space="preserve">Required Output (pcs/month)</t>
  </si>
  <si>
    <t xml:space="preserve">Monthly Capacity (pcs)</t>
  </si>
  <si>
    <t xml:space="preserve">Utilization</t>
  </si>
  <si>
    <t xml:space="preserve">Effective Output (pcs/month)</t>
  </si>
  <si>
    <t xml:space="preserve">OEE (info)</t>
  </si>
  <si>
    <t xml:space="preserve">Coverage (Effective / Required)</t>
  </si>
  <si>
    <t xml:space="preserve">Max Sets Supported / month</t>
  </si>
  <si>
    <t xml:space="preserve">Status</t>
  </si>
  <si>
    <t xml:space="preserve">Bottleneck - max sets/month supported</t>
  </si>
  <si>
    <t xml:space="preserve"># lines with shortfall at base volume</t>
  </si>
  <si>
    <t xml:space="preserve">Reading: capacity is treated as pieces per month. If several component lines show a shortfall, check the case brief - capacity may be quoted in set-equivalents, or some parts may be bought in. Per-set COGS is not affected by volume; only monthly / annual totals are.</t>
  </si>
  <si>
    <t xml:space="preserve">Model Integrity Checks</t>
  </si>
  <si>
    <t xml:space="preserve">Every check must read OK before the baseline is used</t>
  </si>
  <si>
    <t xml:space="preserve">Overall status</t>
  </si>
  <si>
    <t xml:space="preserve">Check</t>
  </si>
  <si>
    <t xml:space="preserve">Value</t>
  </si>
  <si>
    <t xml:space="preserve">Target</t>
  </si>
  <si>
    <t xml:space="preserve">Tolerance</t>
  </si>
  <si>
    <t xml:space="preserve">Result</t>
  </si>
  <si>
    <t xml:space="preserve">Level-1 calculated shares sum to 100%</t>
  </si>
  <si>
    <t xml:space="preserve">Level-1 calc share vs source COGS Ratio (max |diff|, source rounded to 4 dp)</t>
  </si>
  <si>
    <t xml:space="preserve">Level-2 COGS Value = Share x Parent COGS (max |diff|)</t>
  </si>
  <si>
    <t xml:space="preserve">Each component fully decomposed into raw materials (max |L2 roll-up - L1|)</t>
  </si>
  <si>
    <t xml:space="preserve">Σ Level-2 COGS = Σ Level-1 COGS (USD/set)</t>
  </si>
  <si>
    <t xml:space="preserve">Supply ratios sum to 100% for every material (Σ |Σratio - 1|)</t>
  </si>
  <si>
    <t xml:space="preserve">Raw-material roll-up = total COGS (USD/set)</t>
  </si>
  <si>
    <t xml:space="preserve">Supplier x material roll-up = total COGS (USD/set)</t>
  </si>
  <si>
    <t xml:space="preserve">Supplier roll-up = total COGS (USD/set)</t>
  </si>
  <si>
    <t xml:space="preserve">Origin roll-up = total COGS (USD/set)</t>
  </si>
  <si>
    <t xml:space="preserve">Scenario: material-based total = supplier-based total (USD/set)</t>
  </si>
  <si>
    <t xml:space="preserve">Summary COGS per set = SUM of source COGS Value (Level 1)</t>
  </si>
  <si>
    <t xml:space="preserve">No.</t>
  </si>
  <si>
    <t xml:space="preserve">Sheet Name</t>
  </si>
  <si>
    <t xml:space="preserve">Column Name</t>
  </si>
  <si>
    <t xml:space="preserve">Explanation</t>
  </si>
  <si>
    <t xml:space="preserve">BOM &amp; COGS RATIO</t>
  </si>
  <si>
    <t xml:space="preserve">Level</t>
  </si>
  <si>
    <t xml:space="preserve">The hierarchy level of each part in the Bill of Materials (BOM). Level 1 represents components’ level and level 2 represents raw materials’ level in one front brake part.</t>
  </si>
  <si>
    <t xml:space="preserve">Code of each component or raw material in the BOM.</t>
  </si>
  <si>
    <t xml:space="preserve">Name of each component or raw material.</t>
  </si>
  <si>
    <t xml:space="preserve">Code of the parent assembly to which the part belongs. Used to establish parent–child relationships in the BOM.</t>
  </si>
  <si>
    <t xml:space="preserve">Quantity</t>
  </si>
  <si>
    <t xml:space="preserve">Number of units of the component/raw materials required in the parent assembly.</t>
  </si>
  <si>
    <t xml:space="preserve">Measurement unit of the quantity.</t>
  </si>
  <si>
    <t xml:space="preserve">Product Item Code</t>
  </si>
  <si>
    <t xml:space="preserve">Internal product code linking the component/raw material to the finished part.</t>
  </si>
  <si>
    <t xml:space="preserve">COGS Ratio (%)</t>
  </si>
  <si>
    <t xml:space="preserve">Percentage of the component/raw material’s cost in the total Cost of Goods Sold (COGS) of the front brake part.</t>
  </si>
  <si>
    <t xml:space="preserve">COGS Value (USD)</t>
  </si>
  <si>
    <t xml:space="preserve">Absolute Cost of Goods Sold (COGS) of the component/raw material in USD.</t>
  </si>
  <si>
    <t xml:space="preserve">SUPPLIER PROFILE</t>
  </si>
  <si>
    <t xml:space="preserve">Supply Ratio (%)</t>
  </si>
  <si>
    <t xml:space="preserve">Proportion of supply volume covered by each supplier compared to total procurement of that material.</t>
  </si>
  <si>
    <t xml:space="preserve">Minimum Order Quantity (pieces)</t>
  </si>
  <si>
    <t xml:space="preserve">Minimum order size required by the supplier for each purchase.</t>
  </si>
  <si>
    <t xml:space="preserve">Production Lead Time (days)</t>
  </si>
  <si>
    <t xml:space="preserve">Number of days needed by the supplier to produce and prepare the material for shipping.</t>
  </si>
  <si>
    <t xml:space="preserve">Shipping Time Origin Countries -&gt; Phu Tho (days)</t>
  </si>
  <si>
    <t xml:space="preserve">Shipping time in days from the supplier’s origin country to the Phu Tho factory.</t>
  </si>
  <si>
    <t xml:space="preserve">Unit Price (USD/piece)</t>
  </si>
  <si>
    <t xml:space="preserve">Purchase price of one unit of material in USD.</t>
  </si>
  <si>
    <t xml:space="preserve">FACTORY INFORMATION</t>
  </si>
  <si>
    <t xml:space="preserve">Production line in the factory.</t>
  </si>
  <si>
    <t xml:space="preserve">Cycle Time (second/piece)</t>
  </si>
  <si>
    <t xml:space="preserve">Average time required to produce one piece, measured in seconds.</t>
  </si>
  <si>
    <t xml:space="preserve">Monthly Capacity (piece)</t>
  </si>
  <si>
    <t xml:space="preserve">Maximum number of units a line can produce in one month.</t>
  </si>
  <si>
    <t xml:space="preserve">Overall Equipment Effectiveness (%)</t>
  </si>
  <si>
    <t xml:space="preserve">Overall efficiency of the production line in percentage.</t>
  </si>
  <si>
    <t xml:space="preserve">Utilization (%)</t>
  </si>
  <si>
    <t xml:space="preserve">Percentage of the production capacity actually utilized compared to the maximum capacity.</t>
  </si>
  <si>
    <t xml:space="preserve">Production Waste Rate (%)</t>
  </si>
  <si>
    <t xml:space="preserve">Percentage of input material wasted during the production of the part.</t>
  </si>
  <si>
    <t xml:space="preserve">FB-001</t>
  </si>
  <si>
    <t xml:space="preserve">Hose Caliper Front LH</t>
  </si>
  <si>
    <t xml:space="preserve">pcs</t>
  </si>
  <si>
    <t xml:space="preserve">FB_SET_001</t>
  </si>
  <si>
    <t xml:space="preserve">FB-002</t>
  </si>
  <si>
    <t xml:space="preserve">Hose Caliper Front RH</t>
  </si>
  <si>
    <t xml:space="preserve">FB-003</t>
  </si>
  <si>
    <t xml:space="preserve">Seal - Brass Hydraulic</t>
  </si>
  <si>
    <t xml:space="preserve">FB-004</t>
  </si>
  <si>
    <t xml:space="preserve">Retain Clip Hose Frame Attach</t>
  </si>
  <si>
    <t xml:space="preserve">FB-005</t>
  </si>
  <si>
    <t xml:space="preserve">Stainless Brake Lines</t>
  </si>
  <si>
    <t xml:space="preserve">FB-006</t>
  </si>
  <si>
    <t xml:space="preserve">Caliper Disc Front LH</t>
  </si>
  <si>
    <t xml:space="preserve">FB-007</t>
  </si>
  <si>
    <t xml:space="preserve">Caliper Disc Front RH</t>
  </si>
  <si>
    <t xml:space="preserve">FB-008</t>
  </si>
  <si>
    <t xml:space="preserve">Rotor Disc Brake</t>
  </si>
  <si>
    <t xml:space="preserve">FB-009</t>
  </si>
  <si>
    <t xml:space="preserve">Bearing Inner Wheel</t>
  </si>
  <si>
    <t xml:space="preserve">FB-010</t>
  </si>
  <si>
    <t xml:space="preserve">Bearing Outer Wheel</t>
  </si>
  <si>
    <t xml:space="preserve">FB-011</t>
  </si>
  <si>
    <t xml:space="preserve">Washer Retainer Outer Bearing</t>
  </si>
  <si>
    <t xml:space="preserve">FB-012</t>
  </si>
  <si>
    <t xml:space="preserve">Cotter Key</t>
  </si>
  <si>
    <t xml:space="preserve">FB-013</t>
  </si>
  <si>
    <t xml:space="preserve">Seal Grease</t>
  </si>
  <si>
    <t xml:space="preserve">FB-014</t>
  </si>
  <si>
    <t xml:space="preserve">Cap Dust</t>
  </si>
  <si>
    <t xml:space="preserve">FB-015</t>
  </si>
  <si>
    <t xml:space="preserve">Pads - Disc Kit</t>
  </si>
  <si>
    <t xml:space="preserve">set</t>
  </si>
  <si>
    <t xml:space="preserve">FB-016</t>
  </si>
  <si>
    <t xml:space="preserve">Tube Hyd Front Distribution</t>
  </si>
  <si>
    <t xml:space="preserve">RM-SS-TUBE-316L</t>
  </si>
  <si>
    <t xml:space="preserve">Stainless Steel</t>
  </si>
  <si>
    <t xml:space="preserve">SteelCorp Ltd.</t>
  </si>
  <si>
    <t xml:space="preserve">Japan</t>
  </si>
  <si>
    <t xml:space="preserve">Nihon Metal Works</t>
  </si>
  <si>
    <t xml:space="preserve">GlobalSteel Industries</t>
  </si>
  <si>
    <t xml:space="preserve">South Korea</t>
  </si>
  <si>
    <t xml:space="preserve">RM-RUBBER-EPDM/NBR</t>
  </si>
  <si>
    <t xml:space="preserve">Synthetic Rubber</t>
  </si>
  <si>
    <t xml:space="preserve">PolyRubber Inc.</t>
  </si>
  <si>
    <t xml:space="preserve">Vietnam</t>
  </si>
  <si>
    <t xml:space="preserve">RM-BRASS</t>
  </si>
  <si>
    <t xml:space="preserve">Brass</t>
  </si>
  <si>
    <t xml:space="preserve">MetalWorks Co.</t>
  </si>
  <si>
    <t xml:space="preserve">RM-STEEL-ALLOY</t>
  </si>
  <si>
    <t xml:space="preserve">Steel Alloy</t>
  </si>
  <si>
    <t xml:space="preserve">RM-BEARING-STEEL</t>
  </si>
  <si>
    <t xml:space="preserve">Bearing Steel</t>
  </si>
  <si>
    <t xml:space="preserve">RM-GREASE</t>
  </si>
  <si>
    <t xml:space="preserve">High Temp Grease</t>
  </si>
  <si>
    <t xml:space="preserve">ChemLube Ltd.</t>
  </si>
  <si>
    <t xml:space="preserve">RM-PLASTIC-POM</t>
  </si>
  <si>
    <t xml:space="preserve">Engineering Plastic</t>
  </si>
  <si>
    <t xml:space="preserve">RM-FRICTION-MAT</t>
  </si>
  <si>
    <t xml:space="preserve">Friction Material</t>
  </si>
  <si>
    <t xml:space="preserve">FrictionTech Co.</t>
  </si>
  <si>
    <t xml:space="preserve">Line </t>
  </si>
  <si>
    <t xml:space="preserve">L0</t>
  </si>
  <si>
    <t xml:space="preserve">Front Brake Assembly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</si>
  <si>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</si>
  <si>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</si>
  <si>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</si>
  <si>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</si>
  <si>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</si>
  <si>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</si>
  <si>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</si>
  <si>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</si>
  <si>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</si>
  <si>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</si>
  <si>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</si>
  <si>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</si>
  <si>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</si>
  <si>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</si>
  <si>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Note: Each line runs for 24 hours.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</si>
</sst>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\$#,##0.00;&quot;($&quot;#,##0.00\);\-"/>
    <numFmt numFmtId="166" formatCode="#,##0;\(#,##0\);\-"/>
    <numFmt numFmtId="167" formatCode="\$#,##0;&quot;($&quot;#,##0\);\-"/>
    <numFmt numFmtId="168" formatCode="0.0%;\(0.0%\);\-"/>
    <numFmt numFmtId="169" formatCode="\+0%"/>
    <numFmt numFmtId="170" formatCode="0.00%;\(0.00%\);\-"/>
    <numFmt numFmtId="171" formatCode="0.0000;\(0.0000\);\-"/>
    <numFmt numFmtId="172" formatCode="\$#,##0.0000;&quot;($&quot;#,##0.0000\);\-"/>
    <numFmt numFmtId="173" formatCode="#,##0.00;\(#,##0.00\);\-"/>
    <numFmt numFmtId="174" formatCode="#,##0.000000"/>
    <numFmt numFmtId="175" formatCode="0.000000"/>
    <numFmt numFmtId="176" formatCode="0.00%"/>
    <numFmt numFmtId="177" formatCode="0%"/>
    <numFmt numFmtId="178" formatCode="_ * #,##0.00_ ;_ * \-#,##0.00_ ;_ * \-??_ ;_ @_ "/>
    <numFmt numFmtId="179" formatCode="0"/>
    <numFmt numFmtId="180" formatCode="0.0%"/>
  </numFmts>
  <fonts count="22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30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 style="thin">
        <color rgb="FF808080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/>
      <right style="thin">
        <color rgb="FFFFFFFF"/>
      </right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6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1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1" fillId="6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6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6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6" fontId="20" fillId="6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20" fillId="6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6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8" fontId="19" fillId="6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7" fontId="0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20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0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20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7" fontId="0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0" fontId="0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80" fontId="0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000"/>
      <rgbColor rgb="FFFF9900"/>
      <rgbColor rgb="FFFF6600"/>
      <rgbColor rgb="FF595959"/>
      <rgbColor rgb="FFA6A6A6"/>
      <rgbColor rgb="FF1F3864"/>
      <rgbColor rgb="FF70AD47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961560</xdr:colOff>
      <xdr:row>0</xdr:row>
      <xdr:rowOff>180720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0" y="0"/>
          <a:ext cx="961560" cy="180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371160</xdr:colOff>
      <xdr:row>0</xdr:row>
      <xdr:rowOff>66240</xdr:rowOff>
    </xdr:to>
    <xdr:pic>
      <xdr:nvPicPr>
        <xdr:cNvPr id="1" name="image1.png" descr=""/>
        <xdr:cNvPicPr/>
      </xdr:nvPicPr>
      <xdr:blipFill>
        <a:blip r:embed="rId1"/>
        <a:stretch/>
      </xdr:blipFill>
      <xdr:spPr>
        <a:xfrm>
          <a:off x="0" y="0"/>
          <a:ext cx="371160" cy="66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1456920</xdr:colOff>
      <xdr:row>0</xdr:row>
      <xdr:rowOff>275760</xdr:rowOff>
    </xdr:to>
    <xdr:pic>
      <xdr:nvPicPr>
        <xdr:cNvPr id="2" name="image1.png" descr=""/>
        <xdr:cNvPicPr/>
      </xdr:nvPicPr>
      <xdr:blipFill>
        <a:blip r:embed="rId1"/>
        <a:stretch/>
      </xdr:blipFill>
      <xdr:spPr>
        <a:xfrm>
          <a:off x="0" y="0"/>
          <a:ext cx="1456920" cy="2757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732960</xdr:colOff>
      <xdr:row>0</xdr:row>
      <xdr:rowOff>132840</xdr:rowOff>
    </xdr:to>
    <xdr:pic>
      <xdr:nvPicPr>
        <xdr:cNvPr id="3" name="image1.png" descr=""/>
        <xdr:cNvPicPr/>
      </xdr:nvPicPr>
      <xdr:blipFill>
        <a:blip r:embed="rId1"/>
        <a:stretch/>
      </xdr:blipFill>
      <xdr:spPr>
        <a:xfrm>
          <a:off x="0" y="0"/>
          <a:ext cx="732960" cy="132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E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5" min="4" style="0" width="4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4"/>
      <c r="D6" s="4"/>
      <c r="E6" s="4"/>
    </row>
    <row r="7" customFormat="false" ht="15" hidden="false" customHeight="false" outlineLevel="0" collapsed="false">
      <c r="B7" s="5" t="s">
        <v>4</v>
      </c>
      <c r="C7" s="6" t="n">
        <f aca="false">Summary!C7</f>
        <v>280.4</v>
      </c>
    </row>
    <row r="8" customFormat="false" ht="15" hidden="false" customHeight="false" outlineLevel="0" collapsed="false">
      <c r="B8" s="5" t="s">
        <v>5</v>
      </c>
      <c r="C8" s="7" t="n">
        <f aca="false">Summary!C8</f>
        <v>20400</v>
      </c>
    </row>
    <row r="9" customFormat="false" ht="15" hidden="false" customHeight="false" outlineLevel="0" collapsed="false">
      <c r="B9" s="5" t="s">
        <v>6</v>
      </c>
      <c r="C9" s="8" t="n">
        <f aca="false">Summary!C10</f>
        <v>5720160</v>
      </c>
    </row>
    <row r="10" customFormat="false" ht="15" hidden="false" customHeight="false" outlineLevel="0" collapsed="false">
      <c r="B10" s="5" t="s">
        <v>7</v>
      </c>
      <c r="C10" s="8" t="n">
        <f aca="false">Summary!C11</f>
        <v>68641920</v>
      </c>
    </row>
    <row r="11" customFormat="false" ht="15" hidden="false" customHeight="false" outlineLevel="0" collapsed="false">
      <c r="B11" s="5" t="s">
        <v>8</v>
      </c>
      <c r="C11" s="9" t="str">
        <f aca="false">INDEX(Summary!C36:C43,MATCH(1,Summary!G36:G43,0))&amp;" - "&amp;TEXT(MAX(Summary!F36:F43),"0.0%")</f>
        <v>Steel Alloy - 57.6%</v>
      </c>
    </row>
    <row r="12" customFormat="false" ht="15" hidden="false" customHeight="false" outlineLevel="0" collapsed="false">
      <c r="B12" s="5" t="s">
        <v>9</v>
      </c>
      <c r="C12" s="9" t="str">
        <f aca="false">INDEX(Summary!B48:B54,MATCH(1,Summary!G48:G54,0))&amp;" - "&amp;TEXT(MAX(Summary!F48:F54),"0.0%")</f>
        <v>SteelCorp Ltd. - 53.5%</v>
      </c>
    </row>
    <row r="13" customFormat="false" ht="15" hidden="false" customHeight="false" outlineLevel="0" collapsed="false">
      <c r="B13" s="5" t="s">
        <v>10</v>
      </c>
      <c r="C13" s="9" t="str">
        <f aca="false">INDEX(Summary!B59:B61,MATCH(1,Summary!G59:G61,0))&amp;" - "&amp;TEXT(MAX(Summary!F59:F61),"0.0%")</f>
        <v>Japan - 64.3%</v>
      </c>
    </row>
    <row r="14" customFormat="false" ht="15" hidden="false" customHeight="false" outlineLevel="0" collapsed="false">
      <c r="B14" s="5" t="s">
        <v>11</v>
      </c>
      <c r="C14" s="9" t="str">
        <f aca="false">Checks!C3</f>
        <v>OK</v>
      </c>
    </row>
    <row r="16" customFormat="false" ht="15" hidden="false" customHeight="false" outlineLevel="0" collapsed="false">
      <c r="B16" s="4" t="s">
        <v>12</v>
      </c>
      <c r="C16" s="4"/>
      <c r="D16" s="4"/>
      <c r="E16" s="4"/>
    </row>
    <row r="17" customFormat="false" ht="15" hidden="false" customHeight="false" outlineLevel="0" collapsed="false">
      <c r="B17" s="10" t="str">
        <f aca="false">HYPERLINK("#'Summary'!A1","Summary")</f>
        <v>Summary</v>
      </c>
      <c r="C17" s="5" t="s">
        <v>13</v>
      </c>
    </row>
    <row r="18" customFormat="false" ht="15" hidden="false" customHeight="false" outlineLevel="0" collapsed="false">
      <c r="B18" s="10" t="str">
        <f aca="false">HYPERLINK("#'Assumptions'!A1","Assumptions")</f>
        <v>Assumptions</v>
      </c>
      <c r="C18" s="5" t="s">
        <v>14</v>
      </c>
    </row>
    <row r="19" customFormat="false" ht="15" hidden="false" customHeight="false" outlineLevel="0" collapsed="false">
      <c r="B19" s="10" t="str">
        <f aca="false">HYPERLINK("#'BOM Cost Build-up'!A1","BOM Cost Build-up")</f>
        <v>BOM Cost Build-up</v>
      </c>
      <c r="C19" s="5" t="s">
        <v>15</v>
      </c>
    </row>
    <row r="20" customFormat="false" ht="15" hidden="false" customHeight="false" outlineLevel="0" collapsed="false">
      <c r="B20" s="10" t="str">
        <f aca="false">HYPERLINK("#'RM &amp; Supplier Cost'!A1","RM &amp; Supplier Cost")</f>
        <v>RM &amp; Supplier Cost</v>
      </c>
      <c r="C20" s="5" t="s">
        <v>16</v>
      </c>
    </row>
    <row r="21" customFormat="false" ht="15" hidden="false" customHeight="false" outlineLevel="0" collapsed="false">
      <c r="B21" s="10" t="str">
        <f aca="false">HYPERLINK("#'Capacity Check'!A1","Capacity Check")</f>
        <v>Capacity Check</v>
      </c>
      <c r="C21" s="5" t="s">
        <v>17</v>
      </c>
    </row>
    <row r="22" customFormat="false" ht="15" hidden="false" customHeight="false" outlineLevel="0" collapsed="false">
      <c r="B22" s="10" t="str">
        <f aca="false">HYPERLINK("#'Checks'!A1","Checks")</f>
        <v>Checks</v>
      </c>
      <c r="C22" s="5" t="s">
        <v>18</v>
      </c>
    </row>
    <row r="23" customFormat="false" ht="15" hidden="false" customHeight="false" outlineLevel="0" collapsed="false">
      <c r="B23" s="10" t="str">
        <f aca="false">HYPERLINK("#'BOM &amp; COGS Ratio'!A1","BOM &amp; COGS Ratio")</f>
        <v>BOM &amp; COGS Ratio</v>
      </c>
      <c r="C23" s="5" t="s">
        <v>19</v>
      </c>
    </row>
    <row r="25" customFormat="false" ht="15" hidden="false" customHeight="false" outlineLevel="0" collapsed="false">
      <c r="B25" s="4" t="s">
        <v>20</v>
      </c>
      <c r="C25" s="4"/>
      <c r="D25" s="4"/>
      <c r="E25" s="4"/>
    </row>
    <row r="26" customFormat="false" ht="15" hidden="false" customHeight="false" outlineLevel="0" collapsed="false">
      <c r="B26" s="11" t="s">
        <v>21</v>
      </c>
      <c r="C26" s="5" t="s">
        <v>22</v>
      </c>
    </row>
    <row r="27" customFormat="false" ht="15" hidden="false" customHeight="false" outlineLevel="0" collapsed="false">
      <c r="B27" s="12" t="s">
        <v>21</v>
      </c>
      <c r="C27" s="5" t="s">
        <v>23</v>
      </c>
    </row>
    <row r="28" customFormat="false" ht="15" hidden="false" customHeight="false" outlineLevel="0" collapsed="false">
      <c r="B28" s="13" t="s">
        <v>21</v>
      </c>
      <c r="C28" s="5" t="s">
        <v>24</v>
      </c>
    </row>
    <row r="29" customFormat="false" ht="15" hidden="false" customHeight="false" outlineLevel="0" collapsed="false">
      <c r="B29" s="14" t="s">
        <v>21</v>
      </c>
      <c r="C29" s="5" t="s">
        <v>25</v>
      </c>
    </row>
    <row r="31" customFormat="false" ht="15" hidden="false" customHeight="false" outlineLevel="0" collapsed="false">
      <c r="B31" s="4" t="s">
        <v>26</v>
      </c>
      <c r="C31" s="4"/>
      <c r="D31" s="4"/>
      <c r="E31" s="4"/>
    </row>
    <row r="32" customFormat="false" ht="30" hidden="false" customHeight="true" outlineLevel="0" collapsed="false">
      <c r="B32" s="15" t="s">
        <v>27</v>
      </c>
      <c r="C32" s="15"/>
      <c r="D32" s="15"/>
      <c r="E32" s="15"/>
    </row>
    <row r="33" customFormat="false" ht="30" hidden="false" customHeight="true" outlineLevel="0" collapsed="false">
      <c r="B33" s="15" t="s">
        <v>28</v>
      </c>
      <c r="C33" s="15"/>
      <c r="D33" s="15"/>
      <c r="E33" s="15"/>
    </row>
    <row r="34" customFormat="false" ht="30" hidden="false" customHeight="true" outlineLevel="0" collapsed="false">
      <c r="B34" s="15" t="s">
        <v>29</v>
      </c>
      <c r="C34" s="15"/>
      <c r="D34" s="15"/>
      <c r="E34" s="15"/>
    </row>
    <row r="35" customFormat="false" ht="30" hidden="false" customHeight="true" outlineLevel="0" collapsed="false">
      <c r="B35" s="15" t="s">
        <v>30</v>
      </c>
      <c r="C35" s="15"/>
      <c r="D35" s="15"/>
      <c r="E35" s="15"/>
    </row>
    <row r="36" customFormat="false" ht="30" hidden="false" customHeight="true" outlineLevel="0" collapsed="false">
      <c r="B36" s="15" t="s">
        <v>31</v>
      </c>
      <c r="C36" s="15"/>
      <c r="D36" s="15"/>
      <c r="E36" s="15"/>
    </row>
    <row r="37" customFormat="false" ht="30" hidden="false" customHeight="true" outlineLevel="0" collapsed="false">
      <c r="B37" s="15" t="s">
        <v>32</v>
      </c>
      <c r="C37" s="15"/>
      <c r="D37" s="15"/>
      <c r="E37" s="15"/>
    </row>
    <row r="38" customFormat="false" ht="30" hidden="false" customHeight="true" outlineLevel="0" collapsed="false">
      <c r="B38" s="15" t="s">
        <v>33</v>
      </c>
      <c r="C38" s="15"/>
      <c r="D38" s="15"/>
      <c r="E38" s="15"/>
    </row>
    <row r="40" customFormat="false" ht="15" hidden="false" customHeight="false" outlineLevel="0" collapsed="false">
      <c r="B40" s="4" t="s">
        <v>34</v>
      </c>
      <c r="C40" s="4"/>
      <c r="D40" s="4"/>
      <c r="E40" s="4"/>
    </row>
    <row r="41" customFormat="false" ht="30" hidden="false" customHeight="true" outlineLevel="0" collapsed="false">
      <c r="B41" s="15" t="s">
        <v>35</v>
      </c>
      <c r="C41" s="15"/>
      <c r="D41" s="15"/>
      <c r="E41" s="15"/>
    </row>
    <row r="42" customFormat="false" ht="30" hidden="false" customHeight="true" outlineLevel="0" collapsed="false">
      <c r="B42" s="15" t="s">
        <v>36</v>
      </c>
      <c r="C42" s="15"/>
      <c r="D42" s="15"/>
      <c r="E42" s="15"/>
    </row>
  </sheetData>
  <mergeCells count="9">
    <mergeCell ref="B32:E32"/>
    <mergeCell ref="B33:E33"/>
    <mergeCell ref="B34:E34"/>
    <mergeCell ref="B35:E35"/>
    <mergeCell ref="B36:E36"/>
    <mergeCell ref="B37:E37"/>
    <mergeCell ref="B38:E38"/>
    <mergeCell ref="B41:E41"/>
    <mergeCell ref="B42:E42"/>
  </mergeCells>
  <conditionalFormatting sqref="C14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"ERROR"</formula>
    </cfRule>
    <cfRule type="cellIs" priority="4" operator="equal" aboveAverage="0" equalAverage="0" bottom="0" percent="0" rank="0" text="" dxfId="1">
      <formula>"Shortfall"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K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11" min="9" style="0" width="14"/>
  </cols>
  <sheetData>
    <row r="1" customFormat="false" ht="17.35" hidden="false" customHeight="false" outlineLevel="0" collapsed="false">
      <c r="A1" s="16" t="s">
        <v>37</v>
      </c>
    </row>
    <row r="2" customFormat="false" ht="15" hidden="false" customHeight="false" outlineLevel="0" collapsed="false">
      <c r="A2" s="3" t="s">
        <v>38</v>
      </c>
    </row>
    <row r="3" customFormat="false" ht="15" hidden="false" customHeight="false" outlineLevel="0" collapsed="false">
      <c r="B3" s="17" t="str">
        <f aca="false">IF(SUMPRODUCT(ABS(Assumptions!$H$20:$H$30))=0,"Status: BASE CASE - all price levers = 0% (Scenario = Base)","Status: PRICE LEVERS ACTIVE - Scenario column differs from Base")</f>
        <v>Status: BASE CASE - all price levers = 0% (Scenario = Base)</v>
      </c>
    </row>
    <row r="5" customFormat="false" ht="15" hidden="false" customHeight="false" outlineLevel="0" collapsed="false">
      <c r="A5" s="4" t="s">
        <v>39</v>
      </c>
      <c r="B5" s="4"/>
      <c r="C5" s="4"/>
      <c r="D5" s="4"/>
      <c r="E5" s="4"/>
      <c r="F5" s="4"/>
      <c r="G5" s="4"/>
      <c r="H5" s="4"/>
      <c r="I5" s="4"/>
      <c r="J5" s="4"/>
      <c r="K5" s="4"/>
    </row>
    <row r="6" customFormat="false" ht="30" hidden="false" customHeight="true" outlineLevel="0" collapsed="false">
      <c r="A6" s="18"/>
      <c r="B6" s="18" t="s">
        <v>40</v>
      </c>
      <c r="C6" s="18" t="s">
        <v>41</v>
      </c>
      <c r="D6" s="18" t="s">
        <v>42</v>
      </c>
      <c r="E6" s="18" t="s">
        <v>43</v>
      </c>
      <c r="F6" s="18" t="s">
        <v>44</v>
      </c>
    </row>
    <row r="7" customFormat="false" ht="15" hidden="false" customHeight="false" outlineLevel="0" collapsed="false">
      <c r="B7" s="19" t="s">
        <v>45</v>
      </c>
      <c r="C7" s="20" t="n">
        <f aca="false">'BOM Cost Build-up'!G22</f>
        <v>280.4</v>
      </c>
      <c r="D7" s="20" t="n">
        <f aca="false">'BOM Cost Build-up'!P22</f>
        <v>280.4</v>
      </c>
      <c r="E7" s="21" t="n">
        <f aca="false">D7-C7</f>
        <v>0</v>
      </c>
      <c r="F7" s="22" t="n">
        <f aca="false">IF(C7=0,0,E7/C7)</f>
        <v>0</v>
      </c>
    </row>
    <row r="8" customFormat="false" ht="15" hidden="false" customHeight="false" outlineLevel="0" collapsed="false">
      <c r="B8" s="5" t="s">
        <v>46</v>
      </c>
      <c r="C8" s="23" t="n">
        <f aca="false">Assumptions!$C$15</f>
        <v>20400</v>
      </c>
      <c r="D8" s="23" t="n">
        <f aca="false">Assumptions!$C$15</f>
        <v>20400</v>
      </c>
      <c r="E8" s="24" t="n">
        <f aca="false">D8-C8</f>
        <v>0</v>
      </c>
      <c r="F8" s="22" t="n">
        <f aca="false">IF(C8=0,0,E8/C8)</f>
        <v>0</v>
      </c>
    </row>
    <row r="9" customFormat="false" ht="15" hidden="false" customHeight="false" outlineLevel="0" collapsed="false">
      <c r="B9" s="5" t="s">
        <v>47</v>
      </c>
      <c r="C9" s="23" t="n">
        <f aca="false">Assumptions!$C$16</f>
        <v>244800</v>
      </c>
      <c r="D9" s="23" t="n">
        <f aca="false">Assumptions!$C$16</f>
        <v>244800</v>
      </c>
      <c r="E9" s="24" t="n">
        <f aca="false">D9-C9</f>
        <v>0</v>
      </c>
      <c r="F9" s="22" t="n">
        <f aca="false">IF(C9=0,0,E9/C9)</f>
        <v>0</v>
      </c>
    </row>
    <row r="10" customFormat="false" ht="15" hidden="false" customHeight="false" outlineLevel="0" collapsed="false">
      <c r="B10" s="5" t="s">
        <v>48</v>
      </c>
      <c r="C10" s="25" t="n">
        <f aca="false">C7*C8</f>
        <v>5720160</v>
      </c>
      <c r="D10" s="25" t="n">
        <f aca="false">D7*D8</f>
        <v>5720160</v>
      </c>
      <c r="E10" s="25" t="n">
        <f aca="false">D10-C10</f>
        <v>0</v>
      </c>
      <c r="F10" s="22" t="n">
        <f aca="false">IF(C10=0,0,E10/C10)</f>
        <v>0</v>
      </c>
    </row>
    <row r="11" customFormat="false" ht="15" hidden="false" customHeight="false" outlineLevel="0" collapsed="false">
      <c r="B11" s="5" t="s">
        <v>49</v>
      </c>
      <c r="C11" s="25" t="n">
        <f aca="false">C7*C9</f>
        <v>68641920</v>
      </c>
      <c r="D11" s="25" t="n">
        <f aca="false">D7*D9</f>
        <v>68641920</v>
      </c>
      <c r="E11" s="25" t="n">
        <f aca="false">D11-C11</f>
        <v>0</v>
      </c>
      <c r="F11" s="22" t="n">
        <f aca="false">IF(C11=0,0,E11/C11)</f>
        <v>0</v>
      </c>
    </row>
    <row r="12" customFormat="false" ht="15" hidden="false" customHeight="false" outlineLevel="0" collapsed="false">
      <c r="B12" s="5" t="s">
        <v>50</v>
      </c>
      <c r="C12" s="26" t="str">
        <f aca="false">Checks!$C$3</f>
        <v>OK</v>
      </c>
    </row>
    <row r="14" customFormat="false" ht="15" hidden="false" customHeight="false" outlineLevel="0" collapsed="false">
      <c r="A14" s="4" t="s">
        <v>51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customFormat="false" ht="42" hidden="false" customHeight="true" outlineLevel="0" collapsed="false">
      <c r="A15" s="18" t="s">
        <v>52</v>
      </c>
      <c r="B15" s="18" t="s">
        <v>53</v>
      </c>
      <c r="C15" s="18" t="s">
        <v>54</v>
      </c>
      <c r="D15" s="18" t="s">
        <v>55</v>
      </c>
      <c r="E15" s="18" t="s">
        <v>56</v>
      </c>
      <c r="F15" s="18" t="s">
        <v>57</v>
      </c>
      <c r="G15" s="18" t="s">
        <v>58</v>
      </c>
      <c r="H15" s="18" t="s">
        <v>49</v>
      </c>
      <c r="I15" s="18" t="s">
        <v>59</v>
      </c>
      <c r="J15" s="18" t="s">
        <v>60</v>
      </c>
    </row>
    <row r="16" customFormat="false" ht="15" hidden="false" customHeight="false" outlineLevel="0" collapsed="false">
      <c r="A16" s="13" t="n">
        <v>1</v>
      </c>
      <c r="B16" s="27" t="str">
        <f aca="false">'BOM Cost Build-up'!B6</f>
        <v>FB-001</v>
      </c>
      <c r="C16" s="27" t="str">
        <f aca="false">'BOM Cost Build-up'!C6</f>
        <v>Hose Caliper Front LH</v>
      </c>
      <c r="D16" s="28" t="n">
        <f aca="false">'BOM Cost Build-up'!D6</f>
        <v>1</v>
      </c>
      <c r="E16" s="29" t="n">
        <f aca="false">'BOM Cost Build-up'!G6</f>
        <v>12</v>
      </c>
      <c r="F16" s="22" t="n">
        <f aca="false">IF($E$32=0,0,E16/$E$32)</f>
        <v>0.0427960057061341</v>
      </c>
      <c r="G16" s="30" t="n">
        <f aca="false">RANK(E16,$E$16:$E$31)</f>
        <v>8</v>
      </c>
      <c r="H16" s="31" t="n">
        <f aca="false">E16*Assumptions!$C$16</f>
        <v>2937600</v>
      </c>
      <c r="I16" s="29" t="n">
        <f aca="false">'BOM Cost Build-up'!P6</f>
        <v>12</v>
      </c>
      <c r="J16" s="21" t="n">
        <f aca="false">I16-E16</f>
        <v>0</v>
      </c>
    </row>
    <row r="17" customFormat="false" ht="15" hidden="false" customHeight="false" outlineLevel="0" collapsed="false">
      <c r="A17" s="13" t="n">
        <v>2</v>
      </c>
      <c r="B17" s="27" t="str">
        <f aca="false">'BOM Cost Build-up'!B7</f>
        <v>FB-002</v>
      </c>
      <c r="C17" s="27" t="str">
        <f aca="false">'BOM Cost Build-up'!C7</f>
        <v>Hose Caliper Front RH</v>
      </c>
      <c r="D17" s="28" t="n">
        <f aca="false">'BOM Cost Build-up'!D7</f>
        <v>1</v>
      </c>
      <c r="E17" s="29" t="n">
        <f aca="false">'BOM Cost Build-up'!G7</f>
        <v>12</v>
      </c>
      <c r="F17" s="22" t="n">
        <f aca="false">IF($E$32=0,0,E17/$E$32)</f>
        <v>0.0427960057061341</v>
      </c>
      <c r="G17" s="30" t="n">
        <f aca="false">RANK(E17,$E$16:$E$31)</f>
        <v>8</v>
      </c>
      <c r="H17" s="31" t="n">
        <f aca="false">E17*Assumptions!$C$16</f>
        <v>2937600</v>
      </c>
      <c r="I17" s="29" t="n">
        <f aca="false">'BOM Cost Build-up'!P7</f>
        <v>12</v>
      </c>
      <c r="J17" s="21" t="n">
        <f aca="false">I17-E17</f>
        <v>0</v>
      </c>
    </row>
    <row r="18" customFormat="false" ht="15" hidden="false" customHeight="false" outlineLevel="0" collapsed="false">
      <c r="A18" s="13" t="n">
        <v>3</v>
      </c>
      <c r="B18" s="27" t="str">
        <f aca="false">'BOM Cost Build-up'!B8</f>
        <v>FB-003</v>
      </c>
      <c r="C18" s="27" t="str">
        <f aca="false">'BOM Cost Build-up'!C8</f>
        <v>Seal - Brass Hydraulic</v>
      </c>
      <c r="D18" s="28" t="n">
        <f aca="false">'BOM Cost Build-up'!D8</f>
        <v>4</v>
      </c>
      <c r="E18" s="29" t="n">
        <f aca="false">'BOM Cost Build-up'!G8</f>
        <v>6</v>
      </c>
      <c r="F18" s="22" t="n">
        <f aca="false">IF($E$32=0,0,E18/$E$32)</f>
        <v>0.0213980028530671</v>
      </c>
      <c r="G18" s="30" t="n">
        <f aca="false">RANK(E18,$E$16:$E$31)</f>
        <v>10</v>
      </c>
      <c r="H18" s="31" t="n">
        <f aca="false">E18*Assumptions!$C$16</f>
        <v>1468800</v>
      </c>
      <c r="I18" s="29" t="n">
        <f aca="false">'BOM Cost Build-up'!P8</f>
        <v>6</v>
      </c>
      <c r="J18" s="21" t="n">
        <f aca="false">I18-E18</f>
        <v>0</v>
      </c>
    </row>
    <row r="19" customFormat="false" ht="15" hidden="false" customHeight="false" outlineLevel="0" collapsed="false">
      <c r="A19" s="13" t="n">
        <v>4</v>
      </c>
      <c r="B19" s="27" t="str">
        <f aca="false">'BOM Cost Build-up'!B9</f>
        <v>FB-004</v>
      </c>
      <c r="C19" s="27" t="str">
        <f aca="false">'BOM Cost Build-up'!C9</f>
        <v>Retain Clip Hose Frame Attach</v>
      </c>
      <c r="D19" s="28" t="n">
        <f aca="false">'BOM Cost Build-up'!D9</f>
        <v>2</v>
      </c>
      <c r="E19" s="29" t="n">
        <f aca="false">'BOM Cost Build-up'!G9</f>
        <v>1</v>
      </c>
      <c r="F19" s="22" t="n">
        <f aca="false">IF($E$32=0,0,E19/$E$32)</f>
        <v>0.00356633380884451</v>
      </c>
      <c r="G19" s="30" t="n">
        <f aca="false">RANK(E19,$E$16:$E$31)</f>
        <v>14</v>
      </c>
      <c r="H19" s="31" t="n">
        <f aca="false">E19*Assumptions!$C$16</f>
        <v>244800</v>
      </c>
      <c r="I19" s="29" t="n">
        <f aca="false">'BOM Cost Build-up'!P9</f>
        <v>1</v>
      </c>
      <c r="J19" s="21" t="n">
        <f aca="false">I19-E19</f>
        <v>0</v>
      </c>
    </row>
    <row r="20" customFormat="false" ht="15" hidden="false" customHeight="false" outlineLevel="0" collapsed="false">
      <c r="A20" s="13" t="n">
        <v>5</v>
      </c>
      <c r="B20" s="27" t="str">
        <f aca="false">'BOM Cost Build-up'!B10</f>
        <v>FB-005</v>
      </c>
      <c r="C20" s="27" t="str">
        <f aca="false">'BOM Cost Build-up'!C10</f>
        <v>Stainless Brake Lines</v>
      </c>
      <c r="D20" s="28" t="n">
        <f aca="false">'BOM Cost Build-up'!D10</f>
        <v>2</v>
      </c>
      <c r="E20" s="29" t="n">
        <f aca="false">'BOM Cost Build-up'!G10</f>
        <v>16</v>
      </c>
      <c r="F20" s="22" t="n">
        <f aca="false">IF($E$32=0,0,E20/$E$32)</f>
        <v>0.0570613409415121</v>
      </c>
      <c r="G20" s="30" t="n">
        <f aca="false">RANK(E20,$E$16:$E$31)</f>
        <v>7</v>
      </c>
      <c r="H20" s="31" t="n">
        <f aca="false">E20*Assumptions!$C$16</f>
        <v>3916800</v>
      </c>
      <c r="I20" s="29" t="n">
        <f aca="false">'BOM Cost Build-up'!P10</f>
        <v>16</v>
      </c>
      <c r="J20" s="21" t="n">
        <f aca="false">I20-E20</f>
        <v>0</v>
      </c>
    </row>
    <row r="21" customFormat="false" ht="15" hidden="false" customHeight="false" outlineLevel="0" collapsed="false">
      <c r="A21" s="13" t="n">
        <v>6</v>
      </c>
      <c r="B21" s="27" t="str">
        <f aca="false">'BOM Cost Build-up'!B11</f>
        <v>FB-006</v>
      </c>
      <c r="C21" s="27" t="str">
        <f aca="false">'BOM Cost Build-up'!C11</f>
        <v>Caliper Disc Front LH</v>
      </c>
      <c r="D21" s="28" t="n">
        <f aca="false">'BOM Cost Build-up'!D11</f>
        <v>1</v>
      </c>
      <c r="E21" s="29" t="n">
        <f aca="false">'BOM Cost Build-up'!G11</f>
        <v>50</v>
      </c>
      <c r="F21" s="22" t="n">
        <f aca="false">IF($E$32=0,0,E21/$E$32)</f>
        <v>0.178316690442225</v>
      </c>
      <c r="G21" s="30" t="n">
        <f aca="false">RANK(E21,$E$16:$E$31)</f>
        <v>1</v>
      </c>
      <c r="H21" s="31" t="n">
        <f aca="false">E21*Assumptions!$C$16</f>
        <v>12240000</v>
      </c>
      <c r="I21" s="29" t="n">
        <f aca="false">'BOM Cost Build-up'!P11</f>
        <v>50</v>
      </c>
      <c r="J21" s="21" t="n">
        <f aca="false">I21-E21</f>
        <v>0</v>
      </c>
    </row>
    <row r="22" customFormat="false" ht="15" hidden="false" customHeight="false" outlineLevel="0" collapsed="false">
      <c r="A22" s="13" t="n">
        <v>7</v>
      </c>
      <c r="B22" s="27" t="str">
        <f aca="false">'BOM Cost Build-up'!B12</f>
        <v>FB-007</v>
      </c>
      <c r="C22" s="27" t="str">
        <f aca="false">'BOM Cost Build-up'!C12</f>
        <v>Caliper Disc Front RH</v>
      </c>
      <c r="D22" s="28" t="n">
        <f aca="false">'BOM Cost Build-up'!D12</f>
        <v>1</v>
      </c>
      <c r="E22" s="29" t="n">
        <f aca="false">'BOM Cost Build-up'!G12</f>
        <v>50</v>
      </c>
      <c r="F22" s="22" t="n">
        <f aca="false">IF($E$32=0,0,E22/$E$32)</f>
        <v>0.178316690442225</v>
      </c>
      <c r="G22" s="30" t="n">
        <f aca="false">RANK(E22,$E$16:$E$31)</f>
        <v>1</v>
      </c>
      <c r="H22" s="31" t="n">
        <f aca="false">E22*Assumptions!$C$16</f>
        <v>12240000</v>
      </c>
      <c r="I22" s="29" t="n">
        <f aca="false">'BOM Cost Build-up'!P12</f>
        <v>50</v>
      </c>
      <c r="J22" s="21" t="n">
        <f aca="false">I22-E22</f>
        <v>0</v>
      </c>
    </row>
    <row r="23" customFormat="false" ht="15" hidden="false" customHeight="false" outlineLevel="0" collapsed="false">
      <c r="A23" s="13" t="n">
        <v>8</v>
      </c>
      <c r="B23" s="27" t="str">
        <f aca="false">'BOM Cost Build-up'!B13</f>
        <v>FB-008</v>
      </c>
      <c r="C23" s="27" t="str">
        <f aca="false">'BOM Cost Build-up'!C13</f>
        <v>Rotor Disc Brake</v>
      </c>
      <c r="D23" s="28" t="n">
        <f aca="false">'BOM Cost Build-up'!D13</f>
        <v>2</v>
      </c>
      <c r="E23" s="29" t="n">
        <f aca="false">'BOM Cost Build-up'!G13</f>
        <v>50</v>
      </c>
      <c r="F23" s="22" t="n">
        <f aca="false">IF($E$32=0,0,E23/$E$32)</f>
        <v>0.178316690442225</v>
      </c>
      <c r="G23" s="30" t="n">
        <f aca="false">RANK(E23,$E$16:$E$31)</f>
        <v>1</v>
      </c>
      <c r="H23" s="31" t="n">
        <f aca="false">E23*Assumptions!$C$16</f>
        <v>12240000</v>
      </c>
      <c r="I23" s="29" t="n">
        <f aca="false">'BOM Cost Build-up'!P13</f>
        <v>50</v>
      </c>
      <c r="J23" s="21" t="n">
        <f aca="false">I23-E23</f>
        <v>0</v>
      </c>
    </row>
    <row r="24" customFormat="false" ht="15" hidden="false" customHeight="false" outlineLevel="0" collapsed="false">
      <c r="A24" s="13" t="n">
        <v>9</v>
      </c>
      <c r="B24" s="27" t="str">
        <f aca="false">'BOM Cost Build-up'!B14</f>
        <v>FB-009</v>
      </c>
      <c r="C24" s="27" t="str">
        <f aca="false">'BOM Cost Build-up'!C14</f>
        <v>Bearing Inner Wheel</v>
      </c>
      <c r="D24" s="28" t="n">
        <f aca="false">'BOM Cost Build-up'!D14</f>
        <v>2</v>
      </c>
      <c r="E24" s="29" t="n">
        <f aca="false">'BOM Cost Build-up'!G14</f>
        <v>20</v>
      </c>
      <c r="F24" s="22" t="n">
        <f aca="false">IF($E$32=0,0,E24/$E$32)</f>
        <v>0.0713266761768902</v>
      </c>
      <c r="G24" s="30" t="n">
        <f aca="false">RANK(E24,$E$16:$E$31)</f>
        <v>5</v>
      </c>
      <c r="H24" s="31" t="n">
        <f aca="false">E24*Assumptions!$C$16</f>
        <v>4896000</v>
      </c>
      <c r="I24" s="29" t="n">
        <f aca="false">'BOM Cost Build-up'!P14</f>
        <v>20</v>
      </c>
      <c r="J24" s="21" t="n">
        <f aca="false">I24-E24</f>
        <v>0</v>
      </c>
    </row>
    <row r="25" customFormat="false" ht="15" hidden="false" customHeight="false" outlineLevel="0" collapsed="false">
      <c r="A25" s="13" t="n">
        <v>10</v>
      </c>
      <c r="B25" s="27" t="str">
        <f aca="false">'BOM Cost Build-up'!B15</f>
        <v>FB-010</v>
      </c>
      <c r="C25" s="27" t="str">
        <f aca="false">'BOM Cost Build-up'!C15</f>
        <v>Bearing Outer Wheel</v>
      </c>
      <c r="D25" s="28" t="n">
        <f aca="false">'BOM Cost Build-up'!D15</f>
        <v>2</v>
      </c>
      <c r="E25" s="29" t="n">
        <f aca="false">'BOM Cost Build-up'!G15</f>
        <v>20</v>
      </c>
      <c r="F25" s="22" t="n">
        <f aca="false">IF($E$32=0,0,E25/$E$32)</f>
        <v>0.0713266761768902</v>
      </c>
      <c r="G25" s="30" t="n">
        <f aca="false">RANK(E25,$E$16:$E$31)</f>
        <v>5</v>
      </c>
      <c r="H25" s="31" t="n">
        <f aca="false">E25*Assumptions!$C$16</f>
        <v>4896000</v>
      </c>
      <c r="I25" s="29" t="n">
        <f aca="false">'BOM Cost Build-up'!P15</f>
        <v>20</v>
      </c>
      <c r="J25" s="21" t="n">
        <f aca="false">I25-E25</f>
        <v>0</v>
      </c>
    </row>
    <row r="26" customFormat="false" ht="15" hidden="false" customHeight="false" outlineLevel="0" collapsed="false">
      <c r="A26" s="13" t="n">
        <v>11</v>
      </c>
      <c r="B26" s="27" t="str">
        <f aca="false">'BOM Cost Build-up'!B16</f>
        <v>FB-011</v>
      </c>
      <c r="C26" s="27" t="str">
        <f aca="false">'BOM Cost Build-up'!C16</f>
        <v>Washer Retainer Outer Bearing</v>
      </c>
      <c r="D26" s="28" t="n">
        <f aca="false">'BOM Cost Build-up'!D16</f>
        <v>2</v>
      </c>
      <c r="E26" s="29" t="n">
        <f aca="false">'BOM Cost Build-up'!G16</f>
        <v>1</v>
      </c>
      <c r="F26" s="22" t="n">
        <f aca="false">IF($E$32=0,0,E26/$E$32)</f>
        <v>0.00356633380884451</v>
      </c>
      <c r="G26" s="30" t="n">
        <f aca="false">RANK(E26,$E$16:$E$31)</f>
        <v>14</v>
      </c>
      <c r="H26" s="31" t="n">
        <f aca="false">E26*Assumptions!$C$16</f>
        <v>244800</v>
      </c>
      <c r="I26" s="29" t="n">
        <f aca="false">'BOM Cost Build-up'!P16</f>
        <v>1</v>
      </c>
      <c r="J26" s="21" t="n">
        <f aca="false">I26-E26</f>
        <v>0</v>
      </c>
    </row>
    <row r="27" customFormat="false" ht="15" hidden="false" customHeight="false" outlineLevel="0" collapsed="false">
      <c r="A27" s="13" t="n">
        <v>12</v>
      </c>
      <c r="B27" s="27" t="str">
        <f aca="false">'BOM Cost Build-up'!B17</f>
        <v>FB-012</v>
      </c>
      <c r="C27" s="27" t="str">
        <f aca="false">'BOM Cost Build-up'!C17</f>
        <v>Cotter Key</v>
      </c>
      <c r="D27" s="28" t="n">
        <f aca="false">'BOM Cost Build-up'!D17</f>
        <v>2</v>
      </c>
      <c r="E27" s="29" t="n">
        <f aca="false">'BOM Cost Build-up'!G17</f>
        <v>0.4</v>
      </c>
      <c r="F27" s="22" t="n">
        <f aca="false">IF($E$32=0,0,E27/$E$32)</f>
        <v>0.0014265335235378</v>
      </c>
      <c r="G27" s="30" t="n">
        <f aca="false">RANK(E27,$E$16:$E$31)</f>
        <v>16</v>
      </c>
      <c r="H27" s="31" t="n">
        <f aca="false">E27*Assumptions!$C$16</f>
        <v>97920</v>
      </c>
      <c r="I27" s="29" t="n">
        <f aca="false">'BOM Cost Build-up'!P17</f>
        <v>0.4</v>
      </c>
      <c r="J27" s="21" t="n">
        <f aca="false">I27-E27</f>
        <v>0</v>
      </c>
    </row>
    <row r="28" customFormat="false" ht="15" hidden="false" customHeight="false" outlineLevel="0" collapsed="false">
      <c r="A28" s="13" t="n">
        <v>13</v>
      </c>
      <c r="B28" s="27" t="str">
        <f aca="false">'BOM Cost Build-up'!B18</f>
        <v>FB-013</v>
      </c>
      <c r="C28" s="27" t="str">
        <f aca="false">'BOM Cost Build-up'!C18</f>
        <v>Seal Grease</v>
      </c>
      <c r="D28" s="28" t="n">
        <f aca="false">'BOM Cost Build-up'!D18</f>
        <v>2</v>
      </c>
      <c r="E28" s="29" t="n">
        <f aca="false">'BOM Cost Build-up'!G18</f>
        <v>4</v>
      </c>
      <c r="F28" s="22" t="n">
        <f aca="false">IF($E$32=0,0,E28/$E$32)</f>
        <v>0.014265335235378</v>
      </c>
      <c r="G28" s="30" t="n">
        <f aca="false">RANK(E28,$E$16:$E$31)</f>
        <v>12</v>
      </c>
      <c r="H28" s="31" t="n">
        <f aca="false">E28*Assumptions!$C$16</f>
        <v>979200</v>
      </c>
      <c r="I28" s="29" t="n">
        <f aca="false">'BOM Cost Build-up'!P18</f>
        <v>4</v>
      </c>
      <c r="J28" s="21" t="n">
        <f aca="false">I28-E28</f>
        <v>0</v>
      </c>
    </row>
    <row r="29" customFormat="false" ht="15" hidden="false" customHeight="false" outlineLevel="0" collapsed="false">
      <c r="A29" s="13" t="n">
        <v>14</v>
      </c>
      <c r="B29" s="27" t="str">
        <f aca="false">'BOM Cost Build-up'!B19</f>
        <v>FB-014</v>
      </c>
      <c r="C29" s="27" t="str">
        <f aca="false">'BOM Cost Build-up'!C19</f>
        <v>Cap Dust</v>
      </c>
      <c r="D29" s="28" t="n">
        <f aca="false">'BOM Cost Build-up'!D19</f>
        <v>2</v>
      </c>
      <c r="E29" s="29" t="n">
        <f aca="false">'BOM Cost Build-up'!G19</f>
        <v>2</v>
      </c>
      <c r="F29" s="22" t="n">
        <f aca="false">IF($E$32=0,0,E29/$E$32)</f>
        <v>0.00713266761768902</v>
      </c>
      <c r="G29" s="30" t="n">
        <f aca="false">RANK(E29,$E$16:$E$31)</f>
        <v>13</v>
      </c>
      <c r="H29" s="31" t="n">
        <f aca="false">E29*Assumptions!$C$16</f>
        <v>489600</v>
      </c>
      <c r="I29" s="29" t="n">
        <f aca="false">'BOM Cost Build-up'!P19</f>
        <v>2</v>
      </c>
      <c r="J29" s="21" t="n">
        <f aca="false">I29-E29</f>
        <v>0</v>
      </c>
    </row>
    <row r="30" customFormat="false" ht="15" hidden="false" customHeight="false" outlineLevel="0" collapsed="false">
      <c r="A30" s="13" t="n">
        <v>15</v>
      </c>
      <c r="B30" s="27" t="str">
        <f aca="false">'BOM Cost Build-up'!B20</f>
        <v>FB-015</v>
      </c>
      <c r="C30" s="27" t="str">
        <f aca="false">'BOM Cost Build-up'!C20</f>
        <v>Pads - Disc Kit</v>
      </c>
      <c r="D30" s="28" t="n">
        <f aca="false">'BOM Cost Build-up'!D20</f>
        <v>1</v>
      </c>
      <c r="E30" s="29" t="n">
        <f aca="false">'BOM Cost Build-up'!G20</f>
        <v>30</v>
      </c>
      <c r="F30" s="22" t="n">
        <f aca="false">IF($E$32=0,0,E30/$E$32)</f>
        <v>0.106990014265335</v>
      </c>
      <c r="G30" s="30" t="n">
        <f aca="false">RANK(E30,$E$16:$E$31)</f>
        <v>4</v>
      </c>
      <c r="H30" s="31" t="n">
        <f aca="false">E30*Assumptions!$C$16</f>
        <v>7344000</v>
      </c>
      <c r="I30" s="29" t="n">
        <f aca="false">'BOM Cost Build-up'!P20</f>
        <v>30</v>
      </c>
      <c r="J30" s="21" t="n">
        <f aca="false">I30-E30</f>
        <v>0</v>
      </c>
    </row>
    <row r="31" customFormat="false" ht="15" hidden="false" customHeight="false" outlineLevel="0" collapsed="false">
      <c r="A31" s="13" t="n">
        <v>16</v>
      </c>
      <c r="B31" s="27" t="str">
        <f aca="false">'BOM Cost Build-up'!B21</f>
        <v>FB-016</v>
      </c>
      <c r="C31" s="27" t="str">
        <f aca="false">'BOM Cost Build-up'!C21</f>
        <v>Tube Hyd Front Distribution</v>
      </c>
      <c r="D31" s="28" t="n">
        <f aca="false">'BOM Cost Build-up'!D21</f>
        <v>1</v>
      </c>
      <c r="E31" s="29" t="n">
        <f aca="false">'BOM Cost Build-up'!G21</f>
        <v>6</v>
      </c>
      <c r="F31" s="22" t="n">
        <f aca="false">IF($E$32=0,0,E31/$E$32)</f>
        <v>0.0213980028530671</v>
      </c>
      <c r="G31" s="30" t="n">
        <f aca="false">RANK(E31,$E$16:$E$31)</f>
        <v>10</v>
      </c>
      <c r="H31" s="31" t="n">
        <f aca="false">E31*Assumptions!$C$16</f>
        <v>1468800</v>
      </c>
      <c r="I31" s="29" t="n">
        <f aca="false">'BOM Cost Build-up'!P21</f>
        <v>6</v>
      </c>
      <c r="J31" s="21" t="n">
        <f aca="false">I31-E31</f>
        <v>0</v>
      </c>
    </row>
    <row r="32" customFormat="false" ht="15" hidden="false" customHeight="false" outlineLevel="0" collapsed="false">
      <c r="A32" s="32"/>
      <c r="B32" s="33" t="s">
        <v>61</v>
      </c>
      <c r="C32" s="32"/>
      <c r="D32" s="32"/>
      <c r="E32" s="34" t="n">
        <f aca="false">SUM(E16:E31)</f>
        <v>280.4</v>
      </c>
      <c r="F32" s="35" t="n">
        <f aca="false">SUM(F16:F31)</f>
        <v>1</v>
      </c>
      <c r="G32" s="32"/>
      <c r="H32" s="36" t="n">
        <f aca="false">SUM(H16:H31)</f>
        <v>68641920</v>
      </c>
      <c r="I32" s="34" t="n">
        <f aca="false">SUM(I16:I31)</f>
        <v>280.4</v>
      </c>
      <c r="J32" s="34" t="n">
        <f aca="false">SUM(J16:J31)</f>
        <v>0</v>
      </c>
      <c r="K32" s="32"/>
    </row>
    <row r="34" customFormat="false" ht="15" hidden="false" customHeight="false" outlineLevel="0" collapsed="false">
      <c r="A34" s="4" t="s">
        <v>62</v>
      </c>
      <c r="B34" s="4"/>
      <c r="C34" s="4"/>
      <c r="D34" s="4"/>
      <c r="E34" s="4"/>
      <c r="F34" s="4"/>
      <c r="G34" s="4"/>
      <c r="H34" s="4"/>
      <c r="I34" s="4"/>
      <c r="J34" s="4"/>
      <c r="K34" s="4"/>
    </row>
    <row r="35" customFormat="false" ht="42" hidden="false" customHeight="true" outlineLevel="0" collapsed="false">
      <c r="A35" s="18" t="s">
        <v>52</v>
      </c>
      <c r="B35" s="18" t="s">
        <v>63</v>
      </c>
      <c r="C35" s="18" t="s">
        <v>64</v>
      </c>
      <c r="D35" s="18" t="s">
        <v>65</v>
      </c>
      <c r="E35" s="18" t="s">
        <v>56</v>
      </c>
      <c r="F35" s="18" t="s">
        <v>57</v>
      </c>
      <c r="G35" s="18" t="s">
        <v>58</v>
      </c>
      <c r="H35" s="18" t="s">
        <v>49</v>
      </c>
      <c r="I35" s="18" t="s">
        <v>59</v>
      </c>
      <c r="J35" s="18" t="s">
        <v>60</v>
      </c>
    </row>
    <row r="36" customFormat="false" ht="15" hidden="false" customHeight="false" outlineLevel="0" collapsed="false">
      <c r="A36" s="13" t="n">
        <v>1</v>
      </c>
      <c r="B36" s="27" t="str">
        <f aca="false">'RM &amp; Supplier Cost'!B6</f>
        <v>RM-SS-TUBE-316L</v>
      </c>
      <c r="C36" s="27" t="str">
        <f aca="false">'RM &amp; Supplier Cost'!C6</f>
        <v>Stainless Steel</v>
      </c>
      <c r="D36" s="28" t="n">
        <f aca="false">'RM &amp; Supplier Cost'!E6</f>
        <v>3</v>
      </c>
      <c r="E36" s="29" t="n">
        <f aca="false">'RM &amp; Supplier Cost'!G6</f>
        <v>31.5064</v>
      </c>
      <c r="F36" s="22" t="n">
        <f aca="false">IF($E$44=0,0,E36/$E$44)</f>
        <v>0.112362339514979</v>
      </c>
      <c r="G36" s="30" t="n">
        <f aca="false">RANK(E36,$E$36:$E$43)</f>
        <v>3</v>
      </c>
      <c r="H36" s="31" t="n">
        <f aca="false">E36*Assumptions!$C$16</f>
        <v>7712766.72</v>
      </c>
      <c r="I36" s="29" t="n">
        <f aca="false">'RM &amp; Supplier Cost'!L6</f>
        <v>31.5064</v>
      </c>
      <c r="J36" s="21" t="n">
        <f aca="false">I36-E36</f>
        <v>0</v>
      </c>
    </row>
    <row r="37" customFormat="false" ht="15" hidden="false" customHeight="false" outlineLevel="0" collapsed="false">
      <c r="A37" s="13" t="n">
        <v>2</v>
      </c>
      <c r="B37" s="27" t="str">
        <f aca="false">'RM &amp; Supplier Cost'!B7</f>
        <v>RM-RUBBER-EPDM/NBR</v>
      </c>
      <c r="C37" s="27" t="str">
        <f aca="false">'RM &amp; Supplier Cost'!C7</f>
        <v>Synthetic Rubber</v>
      </c>
      <c r="D37" s="28" t="n">
        <f aca="false">'RM &amp; Supplier Cost'!E7</f>
        <v>1</v>
      </c>
      <c r="E37" s="29" t="n">
        <f aca="false">'RM &amp; Supplier Cost'!G7</f>
        <v>18.6652</v>
      </c>
      <c r="F37" s="22" t="n">
        <f aca="false">IF($E$44=0,0,E37/$E$44)</f>
        <v>0.0665663338088445</v>
      </c>
      <c r="G37" s="30" t="n">
        <f aca="false">RANK(E37,$E$36:$E$43)</f>
        <v>5</v>
      </c>
      <c r="H37" s="31" t="n">
        <f aca="false">E37*Assumptions!$C$16</f>
        <v>4569240.96</v>
      </c>
      <c r="I37" s="29" t="n">
        <f aca="false">'RM &amp; Supplier Cost'!L7</f>
        <v>18.6652</v>
      </c>
      <c r="J37" s="21" t="n">
        <f aca="false">I37-E37</f>
        <v>0</v>
      </c>
    </row>
    <row r="38" customFormat="false" ht="15" hidden="false" customHeight="false" outlineLevel="0" collapsed="false">
      <c r="A38" s="13" t="n">
        <v>3</v>
      </c>
      <c r="B38" s="27" t="str">
        <f aca="false">'RM &amp; Supplier Cost'!B8</f>
        <v>RM-BRASS</v>
      </c>
      <c r="C38" s="27" t="str">
        <f aca="false">'RM &amp; Supplier Cost'!C8</f>
        <v>Brass</v>
      </c>
      <c r="D38" s="28" t="n">
        <f aca="false">'RM &amp; Supplier Cost'!E8</f>
        <v>1</v>
      </c>
      <c r="E38" s="29" t="n">
        <f aca="false">'RM &amp; Supplier Cost'!G8</f>
        <v>3.8586</v>
      </c>
      <c r="F38" s="22" t="n">
        <f aca="false">IF($E$44=0,0,E38/$E$44)</f>
        <v>0.0137610556348074</v>
      </c>
      <c r="G38" s="30" t="n">
        <f aca="false">RANK(E38,$E$36:$E$43)</f>
        <v>6</v>
      </c>
      <c r="H38" s="31" t="n">
        <f aca="false">E38*Assumptions!$C$16</f>
        <v>944585.28</v>
      </c>
      <c r="I38" s="29" t="n">
        <f aca="false">'RM &amp; Supplier Cost'!L8</f>
        <v>3.8586</v>
      </c>
      <c r="J38" s="21" t="n">
        <f aca="false">I38-E38</f>
        <v>0</v>
      </c>
    </row>
    <row r="39" customFormat="false" ht="15" hidden="false" customHeight="false" outlineLevel="0" collapsed="false">
      <c r="A39" s="13" t="n">
        <v>4</v>
      </c>
      <c r="B39" s="27" t="str">
        <f aca="false">'RM &amp; Supplier Cost'!B9</f>
        <v>RM-STEEL-ALLOY</v>
      </c>
      <c r="C39" s="27" t="str">
        <f aca="false">'RM &amp; Supplier Cost'!C9</f>
        <v>Steel Alloy</v>
      </c>
      <c r="D39" s="28" t="n">
        <f aca="false">'RM &amp; Supplier Cost'!E9</f>
        <v>2</v>
      </c>
      <c r="E39" s="29" t="n">
        <f aca="false">'RM &amp; Supplier Cost'!G9</f>
        <v>161.454</v>
      </c>
      <c r="F39" s="22" t="n">
        <f aca="false">IF($E$44=0,0,E39/$E$44)</f>
        <v>0.575798858773181</v>
      </c>
      <c r="G39" s="30" t="n">
        <f aca="false">RANK(E39,$E$36:$E$43)</f>
        <v>1</v>
      </c>
      <c r="H39" s="31" t="n">
        <f aca="false">E39*Assumptions!$C$16</f>
        <v>39523939.2</v>
      </c>
      <c r="I39" s="29" t="n">
        <f aca="false">'RM &amp; Supplier Cost'!L9</f>
        <v>161.454</v>
      </c>
      <c r="J39" s="21" t="n">
        <f aca="false">I39-E39</f>
        <v>0</v>
      </c>
    </row>
    <row r="40" customFormat="false" ht="15" hidden="false" customHeight="false" outlineLevel="0" collapsed="false">
      <c r="A40" s="13" t="n">
        <v>5</v>
      </c>
      <c r="B40" s="27" t="str">
        <f aca="false">'RM &amp; Supplier Cost'!B10</f>
        <v>RM-BEARING-STEEL</v>
      </c>
      <c r="C40" s="27" t="str">
        <f aca="false">'RM &amp; Supplier Cost'!C10</f>
        <v>Bearing Steel</v>
      </c>
      <c r="D40" s="28" t="n">
        <f aca="false">'RM &amp; Supplier Cost'!E10</f>
        <v>1</v>
      </c>
      <c r="E40" s="29" t="n">
        <f aca="false">'RM &amp; Supplier Cost'!G10</f>
        <v>40</v>
      </c>
      <c r="F40" s="22" t="n">
        <f aca="false">IF($E$44=0,0,E40/$E$44)</f>
        <v>0.14265335235378</v>
      </c>
      <c r="G40" s="30" t="n">
        <f aca="false">RANK(E40,$E$36:$E$43)</f>
        <v>2</v>
      </c>
      <c r="H40" s="31" t="n">
        <f aca="false">E40*Assumptions!$C$16</f>
        <v>9792000</v>
      </c>
      <c r="I40" s="29" t="n">
        <f aca="false">'RM &amp; Supplier Cost'!L10</f>
        <v>40</v>
      </c>
      <c r="J40" s="21" t="n">
        <f aca="false">I40-E40</f>
        <v>0</v>
      </c>
    </row>
    <row r="41" customFormat="false" ht="15" hidden="false" customHeight="false" outlineLevel="0" collapsed="false">
      <c r="A41" s="13" t="n">
        <v>6</v>
      </c>
      <c r="B41" s="27" t="str">
        <f aca="false">'RM &amp; Supplier Cost'!B11</f>
        <v>RM-GREASE</v>
      </c>
      <c r="C41" s="27" t="str">
        <f aca="false">'RM &amp; Supplier Cost'!C11</f>
        <v>High Temp Grease</v>
      </c>
      <c r="D41" s="28" t="n">
        <f aca="false">'RM &amp; Supplier Cost'!E11</f>
        <v>1</v>
      </c>
      <c r="E41" s="29" t="n">
        <f aca="false">'RM &amp; Supplier Cost'!G11</f>
        <v>2.7816</v>
      </c>
      <c r="F41" s="22" t="n">
        <f aca="false">IF($E$44=0,0,E41/$E$44)</f>
        <v>0.00992011412268188</v>
      </c>
      <c r="G41" s="30" t="n">
        <f aca="false">RANK(E41,$E$36:$E$43)</f>
        <v>7</v>
      </c>
      <c r="H41" s="31" t="n">
        <f aca="false">E41*Assumptions!$C$16</f>
        <v>680935.68</v>
      </c>
      <c r="I41" s="29" t="n">
        <f aca="false">'RM &amp; Supplier Cost'!L11</f>
        <v>2.7816</v>
      </c>
      <c r="J41" s="21" t="n">
        <f aca="false">I41-E41</f>
        <v>0</v>
      </c>
    </row>
    <row r="42" customFormat="false" ht="15" hidden="false" customHeight="false" outlineLevel="0" collapsed="false">
      <c r="A42" s="13" t="n">
        <v>7</v>
      </c>
      <c r="B42" s="27" t="str">
        <f aca="false">'RM &amp; Supplier Cost'!B12</f>
        <v>RM-PLASTIC-POM</v>
      </c>
      <c r="C42" s="27" t="str">
        <f aca="false">'RM &amp; Supplier Cost'!C12</f>
        <v>Engineering Plastic</v>
      </c>
      <c r="D42" s="28" t="n">
        <f aca="false">'RM &amp; Supplier Cost'!E12</f>
        <v>1</v>
      </c>
      <c r="E42" s="29" t="n">
        <f aca="false">'RM &amp; Supplier Cost'!G12</f>
        <v>1.1882</v>
      </c>
      <c r="F42" s="22" t="n">
        <f aca="false">IF($E$44=0,0,E42/$E$44)</f>
        <v>0.00423751783166904</v>
      </c>
      <c r="G42" s="30" t="n">
        <f aca="false">RANK(E42,$E$36:$E$43)</f>
        <v>8</v>
      </c>
      <c r="H42" s="31" t="n">
        <f aca="false">E42*Assumptions!$C$16</f>
        <v>290871.36</v>
      </c>
      <c r="I42" s="29" t="n">
        <f aca="false">'RM &amp; Supplier Cost'!L12</f>
        <v>1.1882</v>
      </c>
      <c r="J42" s="21" t="n">
        <f aca="false">I42-E42</f>
        <v>0</v>
      </c>
    </row>
    <row r="43" customFormat="false" ht="15" hidden="false" customHeight="false" outlineLevel="0" collapsed="false">
      <c r="A43" s="13" t="n">
        <v>8</v>
      </c>
      <c r="B43" s="27" t="str">
        <f aca="false">'RM &amp; Supplier Cost'!B13</f>
        <v>RM-FRICTION-MAT</v>
      </c>
      <c r="C43" s="27" t="str">
        <f aca="false">'RM &amp; Supplier Cost'!C13</f>
        <v>Friction Material</v>
      </c>
      <c r="D43" s="28" t="n">
        <f aca="false">'RM &amp; Supplier Cost'!E13</f>
        <v>1</v>
      </c>
      <c r="E43" s="29" t="n">
        <f aca="false">'RM &amp; Supplier Cost'!G13</f>
        <v>20.946</v>
      </c>
      <c r="F43" s="22" t="n">
        <f aca="false">IF($E$44=0,0,E43/$E$44)</f>
        <v>0.0747004279600571</v>
      </c>
      <c r="G43" s="30" t="n">
        <f aca="false">RANK(E43,$E$36:$E$43)</f>
        <v>4</v>
      </c>
      <c r="H43" s="31" t="n">
        <f aca="false">E43*Assumptions!$C$16</f>
        <v>5127580.8</v>
      </c>
      <c r="I43" s="29" t="n">
        <f aca="false">'RM &amp; Supplier Cost'!L13</f>
        <v>20.946</v>
      </c>
      <c r="J43" s="21" t="n">
        <f aca="false">I43-E43</f>
        <v>0</v>
      </c>
    </row>
    <row r="44" customFormat="false" ht="15" hidden="false" customHeight="false" outlineLevel="0" collapsed="false">
      <c r="A44" s="32"/>
      <c r="B44" s="33" t="s">
        <v>61</v>
      </c>
      <c r="C44" s="32"/>
      <c r="D44" s="32"/>
      <c r="E44" s="34" t="n">
        <f aca="false">SUM(E36:E43)</f>
        <v>280.4</v>
      </c>
      <c r="F44" s="35" t="n">
        <f aca="false">SUM(F36:F43)</f>
        <v>1</v>
      </c>
      <c r="G44" s="32"/>
      <c r="H44" s="36" t="n">
        <f aca="false">SUM(H36:H43)</f>
        <v>68641920</v>
      </c>
      <c r="I44" s="34" t="n">
        <f aca="false">SUM(I36:I43)</f>
        <v>280.4</v>
      </c>
      <c r="J44" s="34" t="n">
        <f aca="false">SUM(J36:J43)</f>
        <v>0</v>
      </c>
      <c r="K44" s="32"/>
    </row>
    <row r="46" customFormat="false" ht="15" hidden="false" customHeight="false" outlineLevel="0" collapsed="false">
      <c r="A46" s="4" t="s">
        <v>66</v>
      </c>
      <c r="B46" s="4"/>
      <c r="C46" s="4"/>
      <c r="D46" s="4"/>
      <c r="E46" s="4"/>
      <c r="F46" s="4"/>
      <c r="G46" s="4"/>
      <c r="H46" s="4"/>
      <c r="I46" s="4"/>
      <c r="J46" s="4"/>
      <c r="K46" s="4"/>
    </row>
    <row r="47" customFormat="false" ht="42" hidden="false" customHeight="true" outlineLevel="0" collapsed="false">
      <c r="A47" s="18" t="s">
        <v>52</v>
      </c>
      <c r="B47" s="18" t="s">
        <v>67</v>
      </c>
      <c r="C47" s="18" t="s">
        <v>68</v>
      </c>
      <c r="D47" s="18" t="s">
        <v>69</v>
      </c>
      <c r="E47" s="18" t="s">
        <v>56</v>
      </c>
      <c r="F47" s="18" t="s">
        <v>57</v>
      </c>
      <c r="G47" s="18" t="s">
        <v>58</v>
      </c>
      <c r="H47" s="18" t="s">
        <v>70</v>
      </c>
      <c r="I47" s="18" t="s">
        <v>59</v>
      </c>
      <c r="J47" s="18" t="s">
        <v>60</v>
      </c>
    </row>
    <row r="48" customFormat="false" ht="15" hidden="false" customHeight="false" outlineLevel="0" collapsed="false">
      <c r="A48" s="13" t="n">
        <v>1</v>
      </c>
      <c r="B48" s="27" t="str">
        <f aca="false">'RM &amp; Supplier Cost'!B33</f>
        <v>SteelCorp Ltd.</v>
      </c>
      <c r="C48" s="27" t="str">
        <f aca="false">'RM &amp; Supplier Cost'!C33</f>
        <v>Japan</v>
      </c>
      <c r="D48" s="28" t="n">
        <f aca="false">'RM &amp; Supplier Cost'!D33</f>
        <v>3</v>
      </c>
      <c r="E48" s="29" t="n">
        <f aca="false">'RM &amp; Supplier Cost'!E33</f>
        <v>150.069475351409</v>
      </c>
      <c r="F48" s="22" t="n">
        <f aca="false">IF($E$55=0,0,E48/$E$55)</f>
        <v>0.535197843621289</v>
      </c>
      <c r="G48" s="30" t="n">
        <f aca="false">RANK(E48,$E$48:$E$54)</f>
        <v>1</v>
      </c>
      <c r="H48" s="31" t="n">
        <f aca="false">E48*Assumptions!$C$16</f>
        <v>36737007.566025</v>
      </c>
      <c r="I48" s="29" t="n">
        <f aca="false">'RM &amp; Supplier Cost'!I33</f>
        <v>150.069475351409</v>
      </c>
      <c r="J48" s="21" t="n">
        <f aca="false">I48-E48</f>
        <v>0</v>
      </c>
    </row>
    <row r="49" customFormat="false" ht="15" hidden="false" customHeight="false" outlineLevel="0" collapsed="false">
      <c r="A49" s="13" t="n">
        <v>2</v>
      </c>
      <c r="B49" s="27" t="str">
        <f aca="false">'RM &amp; Supplier Cost'!B34</f>
        <v>Nihon Metal Works</v>
      </c>
      <c r="C49" s="27" t="str">
        <f aca="false">'RM &amp; Supplier Cost'!C34</f>
        <v>Japan</v>
      </c>
      <c r="D49" s="28" t="n">
        <f aca="false">'RM &amp; Supplier Cost'!D34</f>
        <v>1</v>
      </c>
      <c r="E49" s="29" t="n">
        <f aca="false">'RM &amp; Supplier Cost'!E34</f>
        <v>9.32680433212996</v>
      </c>
      <c r="F49" s="22" t="n">
        <f aca="false">IF($E$55=0,0,E49/$E$55)</f>
        <v>0.0332624976181525</v>
      </c>
      <c r="G49" s="30" t="n">
        <f aca="false">RANK(E49,$E$48:$E$54)</f>
        <v>5</v>
      </c>
      <c r="H49" s="31" t="n">
        <f aca="false">E49*Assumptions!$C$16</f>
        <v>2283201.70050541</v>
      </c>
      <c r="I49" s="29" t="n">
        <f aca="false">'RM &amp; Supplier Cost'!I34</f>
        <v>9.32680433212996</v>
      </c>
      <c r="J49" s="21" t="n">
        <f aca="false">I49-E49</f>
        <v>0</v>
      </c>
    </row>
    <row r="50" customFormat="false" ht="15" hidden="false" customHeight="false" outlineLevel="0" collapsed="false">
      <c r="A50" s="13" t="n">
        <v>3</v>
      </c>
      <c r="B50" s="27" t="str">
        <f aca="false">'RM &amp; Supplier Cost'!B35</f>
        <v>GlobalSteel Industries</v>
      </c>
      <c r="C50" s="27" t="str">
        <f aca="false">'RM &amp; Supplier Cost'!C35</f>
        <v>South Korea</v>
      </c>
      <c r="D50" s="28" t="n">
        <f aca="false">'RM &amp; Supplier Cost'!D35</f>
        <v>2</v>
      </c>
      <c r="E50" s="29" t="n">
        <f aca="false">'RM &amp; Supplier Cost'!E35</f>
        <v>73.5641203164606</v>
      </c>
      <c r="F50" s="22" t="n">
        <f aca="false">IF($E$55=0,0,E50/$E$55)</f>
        <v>0.262354209402498</v>
      </c>
      <c r="G50" s="30" t="n">
        <f aca="false">RANK(E50,$E$48:$E$54)</f>
        <v>2</v>
      </c>
      <c r="H50" s="31" t="n">
        <f aca="false">E50*Assumptions!$C$16</f>
        <v>18008496.6534695</v>
      </c>
      <c r="I50" s="29" t="n">
        <f aca="false">'RM &amp; Supplier Cost'!I35</f>
        <v>73.5641203164606</v>
      </c>
      <c r="J50" s="21" t="n">
        <f aca="false">I50-E50</f>
        <v>0</v>
      </c>
    </row>
    <row r="51" customFormat="false" ht="15" hidden="false" customHeight="false" outlineLevel="0" collapsed="false">
      <c r="A51" s="13" t="n">
        <v>4</v>
      </c>
      <c r="B51" s="27" t="str">
        <f aca="false">'RM &amp; Supplier Cost'!B36</f>
        <v>PolyRubber Inc.</v>
      </c>
      <c r="C51" s="27" t="str">
        <f aca="false">'RM &amp; Supplier Cost'!C36</f>
        <v>Vietnam</v>
      </c>
      <c r="D51" s="28" t="n">
        <f aca="false">'RM &amp; Supplier Cost'!D36</f>
        <v>2</v>
      </c>
      <c r="E51" s="29" t="n">
        <f aca="false">'RM &amp; Supplier Cost'!E36</f>
        <v>19.8534</v>
      </c>
      <c r="F51" s="22" t="n">
        <f aca="false">IF($E$55=0,0,E51/$E$55)</f>
        <v>0.0708038516405136</v>
      </c>
      <c r="G51" s="30" t="n">
        <f aca="false">RANK(E51,$E$48:$E$54)</f>
        <v>4</v>
      </c>
      <c r="H51" s="31" t="n">
        <f aca="false">E51*Assumptions!$C$16</f>
        <v>4860112.32</v>
      </c>
      <c r="I51" s="29" t="n">
        <f aca="false">'RM &amp; Supplier Cost'!I36</f>
        <v>19.8534</v>
      </c>
      <c r="J51" s="21" t="n">
        <f aca="false">I51-E51</f>
        <v>0</v>
      </c>
    </row>
    <row r="52" customFormat="false" ht="15" hidden="false" customHeight="false" outlineLevel="0" collapsed="false">
      <c r="A52" s="13" t="n">
        <v>5</v>
      </c>
      <c r="B52" s="27" t="str">
        <f aca="false">'RM &amp; Supplier Cost'!B37</f>
        <v>MetalWorks Co.</v>
      </c>
      <c r="C52" s="27" t="str">
        <f aca="false">'RM &amp; Supplier Cost'!C37</f>
        <v>Vietnam</v>
      </c>
      <c r="D52" s="28" t="n">
        <f aca="false">'RM &amp; Supplier Cost'!D37</f>
        <v>1</v>
      </c>
      <c r="E52" s="29" t="n">
        <f aca="false">'RM &amp; Supplier Cost'!E37</f>
        <v>3.8586</v>
      </c>
      <c r="F52" s="22" t="n">
        <f aca="false">IF($E$55=0,0,E52/$E$55)</f>
        <v>0.0137610556348074</v>
      </c>
      <c r="G52" s="30" t="n">
        <f aca="false">RANK(E52,$E$48:$E$54)</f>
        <v>6</v>
      </c>
      <c r="H52" s="31" t="n">
        <f aca="false">E52*Assumptions!$C$16</f>
        <v>944585.28</v>
      </c>
      <c r="I52" s="29" t="n">
        <f aca="false">'RM &amp; Supplier Cost'!I37</f>
        <v>3.8586</v>
      </c>
      <c r="J52" s="21" t="n">
        <f aca="false">I52-E52</f>
        <v>0</v>
      </c>
    </row>
    <row r="53" customFormat="false" ht="15" hidden="false" customHeight="false" outlineLevel="0" collapsed="false">
      <c r="A53" s="13" t="n">
        <v>6</v>
      </c>
      <c r="B53" s="27" t="str">
        <f aca="false">'RM &amp; Supplier Cost'!B38</f>
        <v>ChemLube Ltd.</v>
      </c>
      <c r="C53" s="27" t="str">
        <f aca="false">'RM &amp; Supplier Cost'!C38</f>
        <v>Vietnam</v>
      </c>
      <c r="D53" s="28" t="n">
        <f aca="false">'RM &amp; Supplier Cost'!D38</f>
        <v>1</v>
      </c>
      <c r="E53" s="29" t="n">
        <f aca="false">'RM &amp; Supplier Cost'!E38</f>
        <v>2.7816</v>
      </c>
      <c r="F53" s="22" t="n">
        <f aca="false">IF($E$55=0,0,E53/$E$55)</f>
        <v>0.00992011412268188</v>
      </c>
      <c r="G53" s="30" t="n">
        <f aca="false">RANK(E53,$E$48:$E$54)</f>
        <v>7</v>
      </c>
      <c r="H53" s="31" t="n">
        <f aca="false">E53*Assumptions!$C$16</f>
        <v>680935.68</v>
      </c>
      <c r="I53" s="29" t="n">
        <f aca="false">'RM &amp; Supplier Cost'!I38</f>
        <v>2.7816</v>
      </c>
      <c r="J53" s="21" t="n">
        <f aca="false">I53-E53</f>
        <v>0</v>
      </c>
    </row>
    <row r="54" customFormat="false" ht="15" hidden="false" customHeight="false" outlineLevel="0" collapsed="false">
      <c r="A54" s="13" t="n">
        <v>7</v>
      </c>
      <c r="B54" s="27" t="str">
        <f aca="false">'RM &amp; Supplier Cost'!B39</f>
        <v>FrictionTech Co.</v>
      </c>
      <c r="C54" s="27" t="str">
        <f aca="false">'RM &amp; Supplier Cost'!C39</f>
        <v>Japan</v>
      </c>
      <c r="D54" s="28" t="n">
        <f aca="false">'RM &amp; Supplier Cost'!D39</f>
        <v>1</v>
      </c>
      <c r="E54" s="29" t="n">
        <f aca="false">'RM &amp; Supplier Cost'!E39</f>
        <v>20.946</v>
      </c>
      <c r="F54" s="22" t="n">
        <f aca="false">IF($E$55=0,0,E54/$E$55)</f>
        <v>0.0747004279600571</v>
      </c>
      <c r="G54" s="30" t="n">
        <f aca="false">RANK(E54,$E$48:$E$54)</f>
        <v>3</v>
      </c>
      <c r="H54" s="31" t="n">
        <f aca="false">E54*Assumptions!$C$16</f>
        <v>5127580.8</v>
      </c>
      <c r="I54" s="29" t="n">
        <f aca="false">'RM &amp; Supplier Cost'!I39</f>
        <v>20.946</v>
      </c>
      <c r="J54" s="21" t="n">
        <f aca="false">I54-E54</f>
        <v>0</v>
      </c>
    </row>
    <row r="55" customFormat="false" ht="15" hidden="false" customHeight="false" outlineLevel="0" collapsed="false">
      <c r="A55" s="32"/>
      <c r="B55" s="33" t="s">
        <v>61</v>
      </c>
      <c r="C55" s="32"/>
      <c r="D55" s="32"/>
      <c r="E55" s="34" t="n">
        <f aca="false">SUM(E48:E54)</f>
        <v>280.4</v>
      </c>
      <c r="F55" s="35" t="n">
        <f aca="false">SUM(F48:F54)</f>
        <v>1</v>
      </c>
      <c r="G55" s="32"/>
      <c r="H55" s="36" t="n">
        <f aca="false">SUM(H48:H54)</f>
        <v>68641920</v>
      </c>
      <c r="I55" s="34" t="n">
        <f aca="false">SUM(I48:I54)</f>
        <v>280.4</v>
      </c>
      <c r="J55" s="34" t="n">
        <f aca="false">SUM(J48:J54)</f>
        <v>0</v>
      </c>
      <c r="K55" s="32"/>
    </row>
    <row r="57" customFormat="false" ht="15" hidden="false" customHeight="false" outlineLevel="0" collapsed="false">
      <c r="A57" s="4" t="s">
        <v>71</v>
      </c>
      <c r="B57" s="4"/>
      <c r="C57" s="4"/>
      <c r="D57" s="4"/>
      <c r="E57" s="4"/>
      <c r="F57" s="4"/>
      <c r="G57" s="4"/>
      <c r="H57" s="4"/>
      <c r="I57" s="4"/>
      <c r="J57" s="4"/>
      <c r="K57" s="4"/>
    </row>
    <row r="58" customFormat="false" ht="42" hidden="false" customHeight="true" outlineLevel="0" collapsed="false">
      <c r="A58" s="18" t="s">
        <v>52</v>
      </c>
      <c r="B58" s="18" t="s">
        <v>68</v>
      </c>
      <c r="C58" s="18" t="s">
        <v>65</v>
      </c>
      <c r="D58" s="18"/>
      <c r="E58" s="18" t="s">
        <v>56</v>
      </c>
      <c r="F58" s="18" t="s">
        <v>57</v>
      </c>
      <c r="G58" s="18" t="s">
        <v>58</v>
      </c>
      <c r="H58" s="18" t="s">
        <v>70</v>
      </c>
      <c r="I58" s="18" t="s">
        <v>59</v>
      </c>
      <c r="J58" s="18" t="s">
        <v>60</v>
      </c>
    </row>
    <row r="59" customFormat="false" ht="15" hidden="false" customHeight="false" outlineLevel="0" collapsed="false">
      <c r="A59" s="13" t="n">
        <v>1</v>
      </c>
      <c r="B59" s="27" t="str">
        <f aca="false">'RM &amp; Supplier Cost'!B44</f>
        <v>Japan</v>
      </c>
      <c r="C59" s="28" t="n">
        <f aca="false">'RM &amp; Supplier Cost'!C44</f>
        <v>3</v>
      </c>
      <c r="E59" s="29" t="n">
        <f aca="false">'RM &amp; Supplier Cost'!E44</f>
        <v>180.342279683539</v>
      </c>
      <c r="F59" s="22" t="n">
        <f aca="false">IF($E$62=0,0,E59/$E$62)</f>
        <v>0.643160769199499</v>
      </c>
      <c r="G59" s="30" t="n">
        <f aca="false">RANK(E59,$E$59:$E$61)</f>
        <v>1</v>
      </c>
      <c r="H59" s="31" t="n">
        <f aca="false">E59*Assumptions!$C$16</f>
        <v>44147790.0665305</v>
      </c>
      <c r="I59" s="29" t="n">
        <f aca="false">'RM &amp; Supplier Cost'!I44</f>
        <v>180.342279683539</v>
      </c>
      <c r="J59" s="21" t="n">
        <f aca="false">I59-E59</f>
        <v>0</v>
      </c>
    </row>
    <row r="60" customFormat="false" ht="15" hidden="false" customHeight="false" outlineLevel="0" collapsed="false">
      <c r="A60" s="13" t="n">
        <v>2</v>
      </c>
      <c r="B60" s="27" t="str">
        <f aca="false">'RM &amp; Supplier Cost'!B45</f>
        <v>South Korea</v>
      </c>
      <c r="C60" s="28" t="n">
        <f aca="false">'RM &amp; Supplier Cost'!C45</f>
        <v>1</v>
      </c>
      <c r="E60" s="29" t="n">
        <f aca="false">'RM &amp; Supplier Cost'!E45</f>
        <v>73.5641203164606</v>
      </c>
      <c r="F60" s="22" t="n">
        <f aca="false">IF($E$62=0,0,E60/$E$62)</f>
        <v>0.262354209402498</v>
      </c>
      <c r="G60" s="30" t="n">
        <f aca="false">RANK(E60,$E$59:$E$61)</f>
        <v>2</v>
      </c>
      <c r="H60" s="31" t="n">
        <f aca="false">E60*Assumptions!$C$16</f>
        <v>18008496.6534695</v>
      </c>
      <c r="I60" s="29" t="n">
        <f aca="false">'RM &amp; Supplier Cost'!I45</f>
        <v>73.5641203164606</v>
      </c>
      <c r="J60" s="21" t="n">
        <f aca="false">I60-E60</f>
        <v>0</v>
      </c>
    </row>
    <row r="61" customFormat="false" ht="15" hidden="false" customHeight="false" outlineLevel="0" collapsed="false">
      <c r="A61" s="13" t="n">
        <v>3</v>
      </c>
      <c r="B61" s="27" t="str">
        <f aca="false">'RM &amp; Supplier Cost'!B46</f>
        <v>Vietnam</v>
      </c>
      <c r="C61" s="28" t="n">
        <f aca="false">'RM &amp; Supplier Cost'!C46</f>
        <v>3</v>
      </c>
      <c r="E61" s="29" t="n">
        <f aca="false">'RM &amp; Supplier Cost'!E46</f>
        <v>26.4936</v>
      </c>
      <c r="F61" s="22" t="n">
        <f aca="false">IF($E$62=0,0,E61/$E$62)</f>
        <v>0.0944850213980029</v>
      </c>
      <c r="G61" s="30" t="n">
        <f aca="false">RANK(E61,$E$59:$E$61)</f>
        <v>3</v>
      </c>
      <c r="H61" s="31" t="n">
        <f aca="false">E61*Assumptions!$C$16</f>
        <v>6485633.28</v>
      </c>
      <c r="I61" s="29" t="n">
        <f aca="false">'RM &amp; Supplier Cost'!I46</f>
        <v>26.4936</v>
      </c>
      <c r="J61" s="21" t="n">
        <f aca="false">I61-E61</f>
        <v>0</v>
      </c>
    </row>
    <row r="62" customFormat="false" ht="15" hidden="false" customHeight="false" outlineLevel="0" collapsed="false">
      <c r="A62" s="32"/>
      <c r="B62" s="33" t="s">
        <v>61</v>
      </c>
      <c r="C62" s="37" t="n">
        <f aca="false">SUM(C59:C61)</f>
        <v>7</v>
      </c>
      <c r="D62" s="32"/>
      <c r="E62" s="34" t="n">
        <f aca="false">SUM(E59:E61)</f>
        <v>280.4</v>
      </c>
      <c r="F62" s="35" t="n">
        <f aca="false">SUM(F59:F61)</f>
        <v>1</v>
      </c>
      <c r="G62" s="32"/>
      <c r="H62" s="36" t="n">
        <f aca="false">SUM(H59:H61)</f>
        <v>68641920</v>
      </c>
      <c r="I62" s="34" t="n">
        <f aca="false">SUM(I59:I61)</f>
        <v>280.4</v>
      </c>
      <c r="J62" s="34" t="n">
        <f aca="false">SUM(J59:J61)</f>
        <v>0</v>
      </c>
      <c r="K62" s="32"/>
    </row>
    <row r="64" customFormat="false" ht="15" hidden="false" customHeight="false" outlineLevel="0" collapsed="false">
      <c r="A64" s="4" t="s">
        <v>72</v>
      </c>
      <c r="B64" s="4"/>
      <c r="C64" s="4"/>
      <c r="D64" s="4"/>
      <c r="E64" s="4"/>
      <c r="F64" s="4"/>
      <c r="G64" s="4"/>
      <c r="H64" s="4"/>
      <c r="I64" s="4"/>
      <c r="J64" s="4"/>
      <c r="K64" s="4"/>
    </row>
    <row r="65" customFormat="false" ht="15" hidden="false" customHeight="false" outlineLevel="0" collapsed="false">
      <c r="D65" s="38" t="s">
        <v>73</v>
      </c>
      <c r="E65" s="38"/>
      <c r="F65" s="38"/>
      <c r="G65" s="38"/>
      <c r="H65" s="38" t="s">
        <v>74</v>
      </c>
      <c r="I65" s="38"/>
      <c r="J65" s="38"/>
      <c r="K65" s="38"/>
    </row>
    <row r="66" customFormat="false" ht="30" hidden="false" customHeight="true" outlineLevel="0" collapsed="false">
      <c r="A66" s="18" t="s">
        <v>52</v>
      </c>
      <c r="B66" s="18" t="s">
        <v>67</v>
      </c>
      <c r="C66" s="18" t="s">
        <v>75</v>
      </c>
      <c r="D66" s="39" t="n">
        <f aca="false">Assumptions!C34</f>
        <v>0.05</v>
      </c>
      <c r="E66" s="39" t="n">
        <f aca="false">Assumptions!D34</f>
        <v>0.1</v>
      </c>
      <c r="F66" s="39" t="n">
        <f aca="false">Assumptions!E34</f>
        <v>0.15</v>
      </c>
      <c r="G66" s="39" t="n">
        <f aca="false">Assumptions!F34</f>
        <v>0.2</v>
      </c>
      <c r="H66" s="39" t="n">
        <f aca="false">Assumptions!C34</f>
        <v>0.05</v>
      </c>
      <c r="I66" s="39" t="n">
        <f aca="false">Assumptions!D34</f>
        <v>0.1</v>
      </c>
      <c r="J66" s="39" t="n">
        <f aca="false">Assumptions!E34</f>
        <v>0.15</v>
      </c>
      <c r="K66" s="39" t="n">
        <f aca="false">Assumptions!F34</f>
        <v>0.2</v>
      </c>
    </row>
    <row r="67" customFormat="false" ht="15" hidden="false" customHeight="false" outlineLevel="0" collapsed="false">
      <c r="A67" s="13" t="n">
        <v>1</v>
      </c>
      <c r="B67" s="5" t="str">
        <f aca="false">B48</f>
        <v>SteelCorp Ltd.</v>
      </c>
      <c r="C67" s="21" t="n">
        <f aca="false">E48</f>
        <v>150.069475351409</v>
      </c>
      <c r="D67" s="21" t="n">
        <f aca="false">$C67*D$66</f>
        <v>7.50347376757047</v>
      </c>
      <c r="E67" s="21" t="n">
        <f aca="false">$C67*E$66</f>
        <v>15.0069475351409</v>
      </c>
      <c r="F67" s="21" t="n">
        <f aca="false">$C67*F$66</f>
        <v>22.5104213027114</v>
      </c>
      <c r="G67" s="21" t="n">
        <f aca="false">$C67*G$66</f>
        <v>30.0138950702819</v>
      </c>
      <c r="H67" s="31" t="n">
        <f aca="false">$C67*H$66*Assumptions!$C$16</f>
        <v>1836850.37830125</v>
      </c>
      <c r="I67" s="31" t="n">
        <f aca="false">$C67*I$66*Assumptions!$C$16</f>
        <v>3673700.7566025</v>
      </c>
      <c r="J67" s="31" t="n">
        <f aca="false">$C67*J$66*Assumptions!$C$16</f>
        <v>5510551.13490376</v>
      </c>
      <c r="K67" s="31" t="n">
        <f aca="false">$C67*K$66*Assumptions!$C$16</f>
        <v>7347401.51320501</v>
      </c>
    </row>
    <row r="68" customFormat="false" ht="15" hidden="false" customHeight="false" outlineLevel="0" collapsed="false">
      <c r="A68" s="13" t="n">
        <v>2</v>
      </c>
      <c r="B68" s="5" t="str">
        <f aca="false">B49</f>
        <v>Nihon Metal Works</v>
      </c>
      <c r="C68" s="21" t="n">
        <f aca="false">E49</f>
        <v>9.32680433212996</v>
      </c>
      <c r="D68" s="21" t="n">
        <f aca="false">$C68*D$66</f>
        <v>0.466340216606498</v>
      </c>
      <c r="E68" s="21" t="n">
        <f aca="false">$C68*E$66</f>
        <v>0.932680433212996</v>
      </c>
      <c r="F68" s="21" t="n">
        <f aca="false">$C68*F$66</f>
        <v>1.39902064981949</v>
      </c>
      <c r="G68" s="21" t="n">
        <f aca="false">$C68*G$66</f>
        <v>1.86536086642599</v>
      </c>
      <c r="H68" s="31" t="n">
        <f aca="false">$C68*H$66*Assumptions!$C$16</f>
        <v>114160.085025271</v>
      </c>
      <c r="I68" s="31" t="n">
        <f aca="false">$C68*I$66*Assumptions!$C$16</f>
        <v>228320.170050541</v>
      </c>
      <c r="J68" s="31" t="n">
        <f aca="false">$C68*J$66*Assumptions!$C$16</f>
        <v>342480.255075812</v>
      </c>
      <c r="K68" s="31" t="n">
        <f aca="false">$C68*K$66*Assumptions!$C$16</f>
        <v>456640.340101083</v>
      </c>
    </row>
    <row r="69" customFormat="false" ht="15" hidden="false" customHeight="false" outlineLevel="0" collapsed="false">
      <c r="A69" s="13" t="n">
        <v>3</v>
      </c>
      <c r="B69" s="5" t="str">
        <f aca="false">B50</f>
        <v>GlobalSteel Industries</v>
      </c>
      <c r="C69" s="21" t="n">
        <f aca="false">E50</f>
        <v>73.5641203164606</v>
      </c>
      <c r="D69" s="21" t="n">
        <f aca="false">$C69*D$66</f>
        <v>3.67820601582303</v>
      </c>
      <c r="E69" s="21" t="n">
        <f aca="false">$C69*E$66</f>
        <v>7.35641203164606</v>
      </c>
      <c r="F69" s="21" t="n">
        <f aca="false">$C69*F$66</f>
        <v>11.0346180474691</v>
      </c>
      <c r="G69" s="21" t="n">
        <f aca="false">$C69*G$66</f>
        <v>14.7128240632921</v>
      </c>
      <c r="H69" s="31" t="n">
        <f aca="false">$C69*H$66*Assumptions!$C$16</f>
        <v>900424.832673477</v>
      </c>
      <c r="I69" s="31" t="n">
        <f aca="false">$C69*I$66*Assumptions!$C$16</f>
        <v>1800849.66534695</v>
      </c>
      <c r="J69" s="31" t="n">
        <f aca="false">$C69*J$66*Assumptions!$C$16</f>
        <v>2701274.49802043</v>
      </c>
      <c r="K69" s="31" t="n">
        <f aca="false">$C69*K$66*Assumptions!$C$16</f>
        <v>3601699.33069391</v>
      </c>
    </row>
    <row r="70" customFormat="false" ht="15" hidden="false" customHeight="false" outlineLevel="0" collapsed="false">
      <c r="A70" s="13" t="n">
        <v>4</v>
      </c>
      <c r="B70" s="5" t="str">
        <f aca="false">B51</f>
        <v>PolyRubber Inc.</v>
      </c>
      <c r="C70" s="21" t="n">
        <f aca="false">E51</f>
        <v>19.8534</v>
      </c>
      <c r="D70" s="21" t="n">
        <f aca="false">$C70*D$66</f>
        <v>0.99267</v>
      </c>
      <c r="E70" s="21" t="n">
        <f aca="false">$C70*E$66</f>
        <v>1.98534</v>
      </c>
      <c r="F70" s="21" t="n">
        <f aca="false">$C70*F$66</f>
        <v>2.97801</v>
      </c>
      <c r="G70" s="21" t="n">
        <f aca="false">$C70*G$66</f>
        <v>3.97068</v>
      </c>
      <c r="H70" s="31" t="n">
        <f aca="false">$C70*H$66*Assumptions!$C$16</f>
        <v>243005.616</v>
      </c>
      <c r="I70" s="31" t="n">
        <f aca="false">$C70*I$66*Assumptions!$C$16</f>
        <v>486011.232</v>
      </c>
      <c r="J70" s="31" t="n">
        <f aca="false">$C70*J$66*Assumptions!$C$16</f>
        <v>729016.848</v>
      </c>
      <c r="K70" s="31" t="n">
        <f aca="false">$C70*K$66*Assumptions!$C$16</f>
        <v>972022.464</v>
      </c>
    </row>
    <row r="71" customFormat="false" ht="15" hidden="false" customHeight="false" outlineLevel="0" collapsed="false">
      <c r="A71" s="13" t="n">
        <v>5</v>
      </c>
      <c r="B71" s="5" t="str">
        <f aca="false">B52</f>
        <v>MetalWorks Co.</v>
      </c>
      <c r="C71" s="21" t="n">
        <f aca="false">E52</f>
        <v>3.8586</v>
      </c>
      <c r="D71" s="21" t="n">
        <f aca="false">$C71*D$66</f>
        <v>0.19293</v>
      </c>
      <c r="E71" s="21" t="n">
        <f aca="false">$C71*E$66</f>
        <v>0.38586</v>
      </c>
      <c r="F71" s="21" t="n">
        <f aca="false">$C71*F$66</f>
        <v>0.57879</v>
      </c>
      <c r="G71" s="21" t="n">
        <f aca="false">$C71*G$66</f>
        <v>0.77172</v>
      </c>
      <c r="H71" s="31" t="n">
        <f aca="false">$C71*H$66*Assumptions!$C$16</f>
        <v>47229.264</v>
      </c>
      <c r="I71" s="31" t="n">
        <f aca="false">$C71*I$66*Assumptions!$C$16</f>
        <v>94458.528</v>
      </c>
      <c r="J71" s="31" t="n">
        <f aca="false">$C71*J$66*Assumptions!$C$16</f>
        <v>141687.792</v>
      </c>
      <c r="K71" s="31" t="n">
        <f aca="false">$C71*K$66*Assumptions!$C$16</f>
        <v>188917.056</v>
      </c>
    </row>
    <row r="72" customFormat="false" ht="15" hidden="false" customHeight="false" outlineLevel="0" collapsed="false">
      <c r="A72" s="13" t="n">
        <v>6</v>
      </c>
      <c r="B72" s="5" t="str">
        <f aca="false">B53</f>
        <v>ChemLube Ltd.</v>
      </c>
      <c r="C72" s="21" t="n">
        <f aca="false">E53</f>
        <v>2.7816</v>
      </c>
      <c r="D72" s="21" t="n">
        <f aca="false">$C72*D$66</f>
        <v>0.13908</v>
      </c>
      <c r="E72" s="21" t="n">
        <f aca="false">$C72*E$66</f>
        <v>0.27816</v>
      </c>
      <c r="F72" s="21" t="n">
        <f aca="false">$C72*F$66</f>
        <v>0.41724</v>
      </c>
      <c r="G72" s="21" t="n">
        <f aca="false">$C72*G$66</f>
        <v>0.55632</v>
      </c>
      <c r="H72" s="31" t="n">
        <f aca="false">$C72*H$66*Assumptions!$C$16</f>
        <v>34046.784</v>
      </c>
      <c r="I72" s="31" t="n">
        <f aca="false">$C72*I$66*Assumptions!$C$16</f>
        <v>68093.568</v>
      </c>
      <c r="J72" s="31" t="n">
        <f aca="false">$C72*J$66*Assumptions!$C$16</f>
        <v>102140.352</v>
      </c>
      <c r="K72" s="31" t="n">
        <f aca="false">$C72*K$66*Assumptions!$C$16</f>
        <v>136187.136</v>
      </c>
    </row>
    <row r="73" customFormat="false" ht="15" hidden="false" customHeight="false" outlineLevel="0" collapsed="false">
      <c r="A73" s="13" t="n">
        <v>7</v>
      </c>
      <c r="B73" s="5" t="str">
        <f aca="false">B54</f>
        <v>FrictionTech Co.</v>
      </c>
      <c r="C73" s="21" t="n">
        <f aca="false">E54</f>
        <v>20.946</v>
      </c>
      <c r="D73" s="21" t="n">
        <f aca="false">$C73*D$66</f>
        <v>1.0473</v>
      </c>
      <c r="E73" s="21" t="n">
        <f aca="false">$C73*E$66</f>
        <v>2.0946</v>
      </c>
      <c r="F73" s="21" t="n">
        <f aca="false">$C73*F$66</f>
        <v>3.1419</v>
      </c>
      <c r="G73" s="21" t="n">
        <f aca="false">$C73*G$66</f>
        <v>4.1892</v>
      </c>
      <c r="H73" s="31" t="n">
        <f aca="false">$C73*H$66*Assumptions!$C$16</f>
        <v>256379.04</v>
      </c>
      <c r="I73" s="31" t="n">
        <f aca="false">$C73*I$66*Assumptions!$C$16</f>
        <v>512758.08</v>
      </c>
      <c r="J73" s="31" t="n">
        <f aca="false">$C73*J$66*Assumptions!$C$16</f>
        <v>769137.12</v>
      </c>
      <c r="K73" s="31" t="n">
        <f aca="false">$C73*K$66*Assumptions!$C$16</f>
        <v>1025516.16</v>
      </c>
    </row>
    <row r="74" customFormat="false" ht="15" hidden="false" customHeight="false" outlineLevel="0" collapsed="false">
      <c r="A74" s="32"/>
      <c r="B74" s="33" t="s">
        <v>76</v>
      </c>
      <c r="C74" s="34" t="n">
        <f aca="false">SUM(C67:C73)</f>
        <v>280.4</v>
      </c>
      <c r="D74" s="34" t="n">
        <f aca="false">SUM(D67:D73)</f>
        <v>14.02</v>
      </c>
      <c r="E74" s="34" t="n">
        <f aca="false">SUM(E67:E73)</f>
        <v>28.04</v>
      </c>
      <c r="F74" s="34" t="n">
        <f aca="false">SUM(F67:F73)</f>
        <v>42.06</v>
      </c>
      <c r="G74" s="34" t="n">
        <f aca="false">SUM(G67:G73)</f>
        <v>56.08</v>
      </c>
      <c r="H74" s="36" t="n">
        <f aca="false">SUM(H67:H73)</f>
        <v>3432096</v>
      </c>
      <c r="I74" s="36" t="n">
        <f aca="false">SUM(I67:I73)</f>
        <v>6864192</v>
      </c>
      <c r="J74" s="36" t="n">
        <f aca="false">SUM(J67:J73)</f>
        <v>10296288</v>
      </c>
      <c r="K74" s="36" t="n">
        <f aca="false">SUM(K67:K73)</f>
        <v>13728384</v>
      </c>
    </row>
    <row r="75" customFormat="false" ht="15" hidden="false" customHeight="false" outlineLevel="0" collapsed="false">
      <c r="B75" s="3" t="s">
        <v>77</v>
      </c>
    </row>
    <row r="77" customFormat="false" ht="15" hidden="false" customHeight="false" outlineLevel="0" collapsed="false">
      <c r="A77" s="4" t="s">
        <v>78</v>
      </c>
      <c r="B77" s="4"/>
      <c r="C77" s="4"/>
      <c r="D77" s="4"/>
      <c r="E77" s="4"/>
      <c r="F77" s="4"/>
      <c r="G77" s="4"/>
      <c r="H77" s="4"/>
      <c r="I77" s="4"/>
      <c r="J77" s="4"/>
      <c r="K77" s="4"/>
    </row>
    <row r="78" customFormat="false" ht="15" hidden="false" customHeight="false" outlineLevel="0" collapsed="false">
      <c r="B78" s="5" t="s">
        <v>79</v>
      </c>
      <c r="C78" s="29" t="n">
        <f aca="false">'BOM Cost Build-up'!G22</f>
        <v>280.4</v>
      </c>
    </row>
    <row r="79" customFormat="false" ht="15" hidden="false" customHeight="false" outlineLevel="0" collapsed="false">
      <c r="B79" s="5" t="s">
        <v>80</v>
      </c>
      <c r="C79" s="29" t="n">
        <f aca="false">'BOM Cost Build-up'!O22</f>
        <v>288.503242227804</v>
      </c>
      <c r="D79" s="3" t="s">
        <v>81</v>
      </c>
    </row>
    <row r="80" customFormat="false" ht="15" hidden="false" customHeight="false" outlineLevel="0" collapsed="false">
      <c r="B80" s="5" t="s">
        <v>82</v>
      </c>
      <c r="C80" s="40" t="n">
        <f aca="false">'Factory Information'!H3</f>
        <v>0.025</v>
      </c>
    </row>
    <row r="81" customFormat="false" ht="15" hidden="false" customHeight="false" outlineLevel="0" collapsed="false">
      <c r="B81" s="19" t="s">
        <v>83</v>
      </c>
      <c r="C81" s="41" t="n">
        <f aca="false">C79/(1-C80)</f>
        <v>295.900761259286</v>
      </c>
    </row>
    <row r="82" customFormat="false" ht="15" hidden="false" customHeight="false" outlineLevel="0" collapsed="false">
      <c r="B82" s="5" t="s">
        <v>84</v>
      </c>
      <c r="C82" s="21" t="n">
        <f aca="false">C81-C78</f>
        <v>15.5007612592864</v>
      </c>
      <c r="D82" s="22" t="n">
        <f aca="false">IF(C78=0,0,C82/C78)</f>
        <v>0.0552808889418204</v>
      </c>
    </row>
    <row r="83" customFormat="false" ht="15" hidden="false" customHeight="false" outlineLevel="0" collapsed="false">
      <c r="B83" s="5" t="s">
        <v>85</v>
      </c>
      <c r="C83" s="31" t="n">
        <f aca="false">C82*Assumptions!$C$15</f>
        <v>316215.529689443</v>
      </c>
    </row>
    <row r="84" customFormat="false" ht="15" hidden="false" customHeight="false" outlineLevel="0" collapsed="false">
      <c r="B84" s="5" t="s">
        <v>86</v>
      </c>
      <c r="C84" s="31" t="n">
        <f aca="false">C82*Assumptions!$C$16</f>
        <v>3794586.35627332</v>
      </c>
    </row>
    <row r="85" customFormat="false" ht="15" hidden="false" customHeight="false" outlineLevel="0" collapsed="false">
      <c r="B85" s="3" t="s">
        <v>87</v>
      </c>
    </row>
    <row r="87" customFormat="false" ht="15" hidden="false" customHeight="false" outlineLevel="0" collapsed="false">
      <c r="A87" s="4" t="s">
        <v>88</v>
      </c>
      <c r="B87" s="4"/>
      <c r="C87" s="4"/>
      <c r="D87" s="4"/>
      <c r="E87" s="4"/>
      <c r="F87" s="4"/>
      <c r="G87" s="4"/>
      <c r="H87" s="4"/>
      <c r="I87" s="4"/>
      <c r="J87" s="4"/>
      <c r="K87" s="4"/>
    </row>
    <row r="88" customFormat="false" ht="15" hidden="false" customHeight="false" outlineLevel="0" collapsed="false">
      <c r="B88" s="5" t="s">
        <v>89</v>
      </c>
      <c r="C88" s="23" t="n">
        <f aca="false">'Capacity Check'!$E$23</f>
        <v>7</v>
      </c>
    </row>
    <row r="89" customFormat="false" ht="15" hidden="false" customHeight="false" outlineLevel="0" collapsed="false">
      <c r="B89" s="5" t="s">
        <v>90</v>
      </c>
      <c r="C89" s="42" t="str">
        <f aca="false">'Capacity Check'!$E$22</f>
        <v>L1</v>
      </c>
    </row>
    <row r="90" customFormat="false" ht="15" hidden="false" customHeight="false" outlineLevel="0" collapsed="false">
      <c r="B90" s="5" t="s">
        <v>91</v>
      </c>
      <c r="C90" s="23" t="n">
        <f aca="false">'Capacity Check'!$E$21</f>
        <v>10200</v>
      </c>
      <c r="D90" s="3" t="s">
        <v>92</v>
      </c>
    </row>
  </sheetData>
  <mergeCells count="2">
    <mergeCell ref="D65:G65"/>
    <mergeCell ref="H65:K65"/>
  </mergeCells>
  <conditionalFormatting sqref="C12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"ERROR"</formula>
    </cfRule>
    <cfRule type="cellIs" priority="4" operator="equal" aboveAverage="0" equalAverage="0" bottom="0" percent="0" rank="0" text="" dxfId="1">
      <formula>"Shortfall"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22"/>
  </cols>
  <sheetData>
    <row r="1" customFormat="false" ht="17.35" hidden="false" customHeight="false" outlineLevel="0" collapsed="false">
      <c r="A1" s="16" t="s">
        <v>93</v>
      </c>
    </row>
    <row r="2" customFormat="false" ht="15" hidden="false" customHeight="false" outlineLevel="0" collapsed="false">
      <c r="A2" s="3" t="s">
        <v>94</v>
      </c>
    </row>
    <row r="4" customFormat="false" ht="15" hidden="false" customHeight="false" outlineLevel="0" collapsed="false">
      <c r="A4" s="4" t="s">
        <v>95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B5" s="5" t="s">
        <v>96</v>
      </c>
      <c r="C5" s="43" t="s">
        <v>97</v>
      </c>
      <c r="E5" s="44" t="s">
        <v>98</v>
      </c>
    </row>
    <row r="6" customFormat="false" ht="15" hidden="false" customHeight="false" outlineLevel="0" collapsed="false">
      <c r="B6" s="5" t="s">
        <v>99</v>
      </c>
      <c r="C6" s="27" t="str">
        <f aca="false">'BOM &amp; COGS Ratio'!I3</f>
        <v>FB_SET_001</v>
      </c>
      <c r="E6" s="44" t="s">
        <v>100</v>
      </c>
    </row>
    <row r="7" customFormat="false" ht="15" hidden="false" customHeight="false" outlineLevel="0" collapsed="false">
      <c r="B7" s="5" t="s">
        <v>101</v>
      </c>
      <c r="C7" s="27" t="str">
        <f aca="false">'Factory Information'!C3</f>
        <v>Front Brake Assembly</v>
      </c>
      <c r="E7" s="44" t="s">
        <v>102</v>
      </c>
    </row>
    <row r="8" customFormat="false" ht="15" hidden="false" customHeight="false" outlineLevel="0" collapsed="false">
      <c r="B8" s="5" t="s">
        <v>103</v>
      </c>
      <c r="C8" s="45" t="n">
        <v>12</v>
      </c>
      <c r="D8" s="5" t="s">
        <v>104</v>
      </c>
      <c r="E8" s="44" t="s">
        <v>105</v>
      </c>
    </row>
    <row r="10" customFormat="false" ht="15" hidden="false" customHeight="false" outlineLevel="0" collapsed="false">
      <c r="A10" s="4" t="s">
        <v>106</v>
      </c>
      <c r="B10" s="4"/>
      <c r="C10" s="4"/>
      <c r="D10" s="4"/>
      <c r="E10" s="4"/>
      <c r="F10" s="4"/>
      <c r="G10" s="4"/>
      <c r="H10" s="4"/>
      <c r="I10" s="4"/>
      <c r="J10" s="4"/>
    </row>
    <row r="11" customFormat="false" ht="15" hidden="false" customHeight="false" outlineLevel="0" collapsed="false">
      <c r="B11" s="5" t="s">
        <v>107</v>
      </c>
      <c r="C11" s="23" t="n">
        <f aca="false">'Factory Information'!E3</f>
        <v>24000</v>
      </c>
      <c r="D11" s="5" t="s">
        <v>108</v>
      </c>
      <c r="E11" s="44" t="s">
        <v>109</v>
      </c>
    </row>
    <row r="12" customFormat="false" ht="15" hidden="false" customHeight="false" outlineLevel="0" collapsed="false">
      <c r="B12" s="5" t="s">
        <v>110</v>
      </c>
      <c r="C12" s="40" t="n">
        <f aca="false">'Factory Information'!G3</f>
        <v>0.85</v>
      </c>
      <c r="D12" s="5" t="s">
        <v>111</v>
      </c>
      <c r="E12" s="44" t="s">
        <v>112</v>
      </c>
    </row>
    <row r="13" customFormat="false" ht="15" hidden="false" customHeight="false" outlineLevel="0" collapsed="false">
      <c r="B13" s="5" t="s">
        <v>113</v>
      </c>
      <c r="C13" s="24" t="n">
        <f aca="false">C11*C12</f>
        <v>20400</v>
      </c>
      <c r="D13" s="5" t="s">
        <v>108</v>
      </c>
      <c r="E13" s="44" t="s">
        <v>114</v>
      </c>
    </row>
    <row r="14" customFormat="false" ht="15" hidden="false" customHeight="false" outlineLevel="0" collapsed="false">
      <c r="B14" s="5" t="s">
        <v>115</v>
      </c>
      <c r="C14" s="46"/>
      <c r="D14" s="5" t="s">
        <v>108</v>
      </c>
      <c r="E14" s="44" t="s">
        <v>116</v>
      </c>
    </row>
    <row r="15" customFormat="false" ht="15" hidden="false" customHeight="false" outlineLevel="0" collapsed="false">
      <c r="B15" s="19" t="s">
        <v>117</v>
      </c>
      <c r="C15" s="47" t="n">
        <f aca="false">IF(ISNUMBER(C14),C14,C13)</f>
        <v>20400</v>
      </c>
      <c r="D15" s="5" t="s">
        <v>108</v>
      </c>
      <c r="E15" s="44" t="s">
        <v>118</v>
      </c>
    </row>
    <row r="16" customFormat="false" ht="15" hidden="false" customHeight="false" outlineLevel="0" collapsed="false">
      <c r="B16" s="5" t="s">
        <v>119</v>
      </c>
      <c r="C16" s="24" t="n">
        <f aca="false">C15*C8</f>
        <v>244800</v>
      </c>
      <c r="D16" s="5" t="s">
        <v>120</v>
      </c>
    </row>
    <row r="18" customFormat="false" ht="15" hidden="false" customHeight="false" outlineLevel="0" collapsed="false">
      <c r="A18" s="4" t="s">
        <v>121</v>
      </c>
      <c r="B18" s="4"/>
      <c r="C18" s="4"/>
      <c r="D18" s="4"/>
      <c r="E18" s="4"/>
      <c r="F18" s="4"/>
      <c r="G18" s="4"/>
      <c r="H18" s="4"/>
      <c r="I18" s="4"/>
      <c r="J18" s="4"/>
    </row>
    <row r="19" customFormat="false" ht="42" hidden="false" customHeight="true" outlineLevel="0" collapsed="false">
      <c r="A19" s="18" t="s">
        <v>52</v>
      </c>
      <c r="B19" s="18" t="s">
        <v>63</v>
      </c>
      <c r="C19" s="18" t="s">
        <v>64</v>
      </c>
      <c r="D19" s="18" t="s">
        <v>67</v>
      </c>
      <c r="E19" s="18" t="s">
        <v>68</v>
      </c>
      <c r="F19" s="18" t="s">
        <v>122</v>
      </c>
      <c r="G19" s="18" t="s">
        <v>123</v>
      </c>
      <c r="H19" s="18" t="s">
        <v>124</v>
      </c>
      <c r="I19" s="18" t="s">
        <v>125</v>
      </c>
      <c r="J19" s="18" t="s">
        <v>126</v>
      </c>
    </row>
    <row r="20" customFormat="false" ht="15" hidden="false" customHeight="false" outlineLevel="0" collapsed="false">
      <c r="A20" s="13" t="n">
        <v>1</v>
      </c>
      <c r="B20" s="27" t="str">
        <f aca="false">'Supplier Profile'!A3</f>
        <v>RM-SS-TUBE-316L</v>
      </c>
      <c r="C20" s="27" t="str">
        <f aca="false">'Supplier Profile'!B3</f>
        <v>Stainless Steel</v>
      </c>
      <c r="D20" s="27" t="str">
        <f aca="false">'Supplier Profile'!C3</f>
        <v>SteelCorp Ltd.</v>
      </c>
      <c r="E20" s="27" t="str">
        <f aca="false">'Supplier Profile'!D3</f>
        <v>Japan</v>
      </c>
      <c r="F20" s="40" t="n">
        <f aca="false">'Supplier Profile'!E3</f>
        <v>0.4</v>
      </c>
      <c r="G20" s="29" t="n">
        <f aca="false">'Supplier Profile'!I3</f>
        <v>4.2</v>
      </c>
      <c r="H20" s="48" t="n">
        <v>0</v>
      </c>
      <c r="I20" s="21" t="n">
        <f aca="false">G20*(1+H20)</f>
        <v>4.2</v>
      </c>
      <c r="J20" s="44" t="s">
        <v>127</v>
      </c>
    </row>
    <row r="21" customFormat="false" ht="15" hidden="false" customHeight="false" outlineLevel="0" collapsed="false">
      <c r="A21" s="13" t="n">
        <v>2</v>
      </c>
      <c r="B21" s="27" t="str">
        <f aca="false">'Supplier Profile'!A3</f>
        <v>RM-SS-TUBE-316L</v>
      </c>
      <c r="C21" s="27" t="str">
        <f aca="false">'Supplier Profile'!B3</f>
        <v>Stainless Steel</v>
      </c>
      <c r="D21" s="27" t="str">
        <f aca="false">'Supplier Profile'!C4</f>
        <v>Nihon Metal Works</v>
      </c>
      <c r="E21" s="27" t="str">
        <f aca="false">'Supplier Profile'!D4</f>
        <v>Japan</v>
      </c>
      <c r="F21" s="40" t="n">
        <f aca="false">'Supplier Profile'!E4</f>
        <v>0.3</v>
      </c>
      <c r="G21" s="29" t="n">
        <f aca="false">'Supplier Profile'!I4</f>
        <v>4.1</v>
      </c>
      <c r="H21" s="48" t="n">
        <v>0</v>
      </c>
      <c r="I21" s="21" t="n">
        <f aca="false">G21*(1+H21)</f>
        <v>4.1</v>
      </c>
      <c r="J21" s="44" t="s">
        <v>128</v>
      </c>
    </row>
    <row r="22" customFormat="false" ht="15" hidden="false" customHeight="false" outlineLevel="0" collapsed="false">
      <c r="A22" s="13" t="n">
        <v>3</v>
      </c>
      <c r="B22" s="27" t="str">
        <f aca="false">'Supplier Profile'!A3</f>
        <v>RM-SS-TUBE-316L</v>
      </c>
      <c r="C22" s="27" t="str">
        <f aca="false">'Supplier Profile'!B3</f>
        <v>Stainless Steel</v>
      </c>
      <c r="D22" s="27" t="str">
        <f aca="false">'Supplier Profile'!C5</f>
        <v>GlobalSteel Industries</v>
      </c>
      <c r="E22" s="27" t="str">
        <f aca="false">'Supplier Profile'!D5</f>
        <v>South Korea</v>
      </c>
      <c r="F22" s="40" t="n">
        <f aca="false">'Supplier Profile'!E5</f>
        <v>0.3</v>
      </c>
      <c r="G22" s="29" t="n">
        <f aca="false">'Supplier Profile'!I5</f>
        <v>4.15</v>
      </c>
      <c r="H22" s="48" t="n">
        <v>0</v>
      </c>
      <c r="I22" s="21" t="n">
        <f aca="false">G22*(1+H22)</f>
        <v>4.15</v>
      </c>
      <c r="J22" s="44" t="s">
        <v>129</v>
      </c>
    </row>
    <row r="23" customFormat="false" ht="15" hidden="false" customHeight="false" outlineLevel="0" collapsed="false">
      <c r="A23" s="13" t="n">
        <v>4</v>
      </c>
      <c r="B23" s="27" t="str">
        <f aca="false">'Supplier Profile'!A6</f>
        <v>RM-RUBBER-EPDM/NBR</v>
      </c>
      <c r="C23" s="27" t="str">
        <f aca="false">'Supplier Profile'!B6</f>
        <v>Synthetic Rubber</v>
      </c>
      <c r="D23" s="27" t="str">
        <f aca="false">'Supplier Profile'!C6</f>
        <v>PolyRubber Inc.</v>
      </c>
      <c r="E23" s="27" t="str">
        <f aca="false">'Supplier Profile'!D6</f>
        <v>Vietnam</v>
      </c>
      <c r="F23" s="40" t="n">
        <f aca="false">'Supplier Profile'!E6</f>
        <v>1</v>
      </c>
      <c r="G23" s="29" t="n">
        <f aca="false">'Supplier Profile'!I6</f>
        <v>2.9</v>
      </c>
      <c r="H23" s="48" t="n">
        <v>0</v>
      </c>
      <c r="I23" s="21" t="n">
        <f aca="false">G23*(1+H23)</f>
        <v>2.9</v>
      </c>
      <c r="J23" s="44" t="s">
        <v>130</v>
      </c>
    </row>
    <row r="24" customFormat="false" ht="15" hidden="false" customHeight="false" outlineLevel="0" collapsed="false">
      <c r="A24" s="13" t="n">
        <v>5</v>
      </c>
      <c r="B24" s="27" t="str">
        <f aca="false">'Supplier Profile'!A7</f>
        <v>RM-BRASS</v>
      </c>
      <c r="C24" s="27" t="str">
        <f aca="false">'Supplier Profile'!B7</f>
        <v>Brass</v>
      </c>
      <c r="D24" s="27" t="str">
        <f aca="false">'Supplier Profile'!C7</f>
        <v>MetalWorks Co.</v>
      </c>
      <c r="E24" s="27" t="str">
        <f aca="false">'Supplier Profile'!D7</f>
        <v>Vietnam</v>
      </c>
      <c r="F24" s="40" t="n">
        <f aca="false">'Supplier Profile'!E7</f>
        <v>1</v>
      </c>
      <c r="G24" s="29" t="n">
        <f aca="false">'Supplier Profile'!I7</f>
        <v>3.6</v>
      </c>
      <c r="H24" s="48" t="n">
        <v>0</v>
      </c>
      <c r="I24" s="21" t="n">
        <f aca="false">G24*(1+H24)</f>
        <v>3.6</v>
      </c>
      <c r="J24" s="44" t="s">
        <v>131</v>
      </c>
    </row>
    <row r="25" customFormat="false" ht="15" hidden="false" customHeight="false" outlineLevel="0" collapsed="false">
      <c r="A25" s="13" t="n">
        <v>6</v>
      </c>
      <c r="B25" s="27" t="str">
        <f aca="false">'Supplier Profile'!A8</f>
        <v>RM-STEEL-ALLOY</v>
      </c>
      <c r="C25" s="27" t="str">
        <f aca="false">'Supplier Profile'!B8</f>
        <v>Steel Alloy</v>
      </c>
      <c r="D25" s="27" t="str">
        <f aca="false">'Supplier Profile'!C8</f>
        <v>SteelCorp Ltd.</v>
      </c>
      <c r="E25" s="27" t="str">
        <f aca="false">'Supplier Profile'!D8</f>
        <v>Japan</v>
      </c>
      <c r="F25" s="40" t="n">
        <f aca="false">'Supplier Profile'!E8</f>
        <v>0.6</v>
      </c>
      <c r="G25" s="29" t="n">
        <f aca="false">'Supplier Profile'!I8</f>
        <v>8.5</v>
      </c>
      <c r="H25" s="48" t="n">
        <v>0</v>
      </c>
      <c r="I25" s="21" t="n">
        <f aca="false">G25*(1+H25)</f>
        <v>8.5</v>
      </c>
      <c r="J25" s="44" t="s">
        <v>132</v>
      </c>
    </row>
    <row r="26" customFormat="false" ht="15" hidden="false" customHeight="false" outlineLevel="0" collapsed="false">
      <c r="A26" s="13" t="n">
        <v>7</v>
      </c>
      <c r="B26" s="27" t="str">
        <f aca="false">'Supplier Profile'!A8</f>
        <v>RM-STEEL-ALLOY</v>
      </c>
      <c r="C26" s="27" t="str">
        <f aca="false">'Supplier Profile'!B8</f>
        <v>Steel Alloy</v>
      </c>
      <c r="D26" s="27" t="str">
        <f aca="false">'Supplier Profile'!C9</f>
        <v>GlobalSteel Industries</v>
      </c>
      <c r="E26" s="27" t="str">
        <f aca="false">'Supplier Profile'!D9</f>
        <v>South Korea</v>
      </c>
      <c r="F26" s="40" t="n">
        <f aca="false">'Supplier Profile'!E9</f>
        <v>0.4</v>
      </c>
      <c r="G26" s="29" t="n">
        <f aca="false">'Supplier Profile'!I9</f>
        <v>8.4</v>
      </c>
      <c r="H26" s="48" t="n">
        <v>0</v>
      </c>
      <c r="I26" s="21" t="n">
        <f aca="false">G26*(1+H26)</f>
        <v>8.4</v>
      </c>
      <c r="J26" s="44" t="s">
        <v>133</v>
      </c>
    </row>
    <row r="27" customFormat="false" ht="15" hidden="false" customHeight="false" outlineLevel="0" collapsed="false">
      <c r="A27" s="13" t="n">
        <v>8</v>
      </c>
      <c r="B27" s="27" t="str">
        <f aca="false">'Supplier Profile'!A10</f>
        <v>RM-BEARING-STEEL</v>
      </c>
      <c r="C27" s="27" t="str">
        <f aca="false">'Supplier Profile'!B10</f>
        <v>Bearing Steel</v>
      </c>
      <c r="D27" s="27" t="str">
        <f aca="false">'Supplier Profile'!C10</f>
        <v>SteelCorp Ltd.</v>
      </c>
      <c r="E27" s="27" t="str">
        <f aca="false">'Supplier Profile'!D10</f>
        <v>Japan</v>
      </c>
      <c r="F27" s="40" t="n">
        <f aca="false">'Supplier Profile'!E10</f>
        <v>1</v>
      </c>
      <c r="G27" s="29" t="n">
        <f aca="false">'Supplier Profile'!I10</f>
        <v>9.5</v>
      </c>
      <c r="H27" s="48" t="n">
        <v>0</v>
      </c>
      <c r="I27" s="21" t="n">
        <f aca="false">G27*(1+H27)</f>
        <v>9.5</v>
      </c>
      <c r="J27" s="44" t="s">
        <v>134</v>
      </c>
    </row>
    <row r="28" customFormat="false" ht="15" hidden="false" customHeight="false" outlineLevel="0" collapsed="false">
      <c r="A28" s="13" t="n">
        <v>9</v>
      </c>
      <c r="B28" s="27" t="str">
        <f aca="false">'Supplier Profile'!A11</f>
        <v>RM-GREASE</v>
      </c>
      <c r="C28" s="27" t="str">
        <f aca="false">'Supplier Profile'!B11</f>
        <v>High Temp Grease</v>
      </c>
      <c r="D28" s="27" t="str">
        <f aca="false">'Supplier Profile'!C11</f>
        <v>ChemLube Ltd.</v>
      </c>
      <c r="E28" s="27" t="str">
        <f aca="false">'Supplier Profile'!D11</f>
        <v>Vietnam</v>
      </c>
      <c r="F28" s="40" t="n">
        <f aca="false">'Supplier Profile'!E11</f>
        <v>1</v>
      </c>
      <c r="G28" s="29" t="n">
        <f aca="false">'Supplier Profile'!I11</f>
        <v>2.5</v>
      </c>
      <c r="H28" s="48" t="n">
        <v>0</v>
      </c>
      <c r="I28" s="21" t="n">
        <f aca="false">G28*(1+H28)</f>
        <v>2.5</v>
      </c>
      <c r="J28" s="44" t="s">
        <v>135</v>
      </c>
    </row>
    <row r="29" customFormat="false" ht="15" hidden="false" customHeight="false" outlineLevel="0" collapsed="false">
      <c r="A29" s="13" t="n">
        <v>10</v>
      </c>
      <c r="B29" s="27" t="str">
        <f aca="false">'Supplier Profile'!A12</f>
        <v>RM-PLASTIC-POM</v>
      </c>
      <c r="C29" s="27" t="str">
        <f aca="false">'Supplier Profile'!B12</f>
        <v>Engineering Plastic</v>
      </c>
      <c r="D29" s="27" t="str">
        <f aca="false">'Supplier Profile'!C12</f>
        <v>PolyRubber Inc.</v>
      </c>
      <c r="E29" s="27" t="str">
        <f aca="false">'Supplier Profile'!D12</f>
        <v>Vietnam</v>
      </c>
      <c r="F29" s="40" t="n">
        <f aca="false">'Supplier Profile'!E12</f>
        <v>1</v>
      </c>
      <c r="G29" s="29" t="n">
        <f aca="false">'Supplier Profile'!I12</f>
        <v>1.1</v>
      </c>
      <c r="H29" s="48" t="n">
        <v>0</v>
      </c>
      <c r="I29" s="21" t="n">
        <f aca="false">G29*(1+H29)</f>
        <v>1.1</v>
      </c>
      <c r="J29" s="44" t="s">
        <v>136</v>
      </c>
    </row>
    <row r="30" customFormat="false" ht="15" hidden="false" customHeight="false" outlineLevel="0" collapsed="false">
      <c r="A30" s="13" t="n">
        <v>11</v>
      </c>
      <c r="B30" s="27" t="str">
        <f aca="false">'Supplier Profile'!A13</f>
        <v>RM-FRICTION-MAT</v>
      </c>
      <c r="C30" s="27" t="str">
        <f aca="false">'Supplier Profile'!B13</f>
        <v>Friction Material</v>
      </c>
      <c r="D30" s="27" t="str">
        <f aca="false">'Supplier Profile'!C13</f>
        <v>FrictionTech Co.</v>
      </c>
      <c r="E30" s="27" t="str">
        <f aca="false">'Supplier Profile'!D13</f>
        <v>Japan</v>
      </c>
      <c r="F30" s="40" t="n">
        <f aca="false">'Supplier Profile'!E13</f>
        <v>1</v>
      </c>
      <c r="G30" s="29" t="n">
        <f aca="false">'Supplier Profile'!I13</f>
        <v>19.5</v>
      </c>
      <c r="H30" s="48" t="n">
        <v>0</v>
      </c>
      <c r="I30" s="21" t="n">
        <f aca="false">G30*(1+H30)</f>
        <v>19.5</v>
      </c>
      <c r="J30" s="44" t="s">
        <v>137</v>
      </c>
    </row>
    <row r="31" customFormat="false" ht="15" hidden="false" customHeight="false" outlineLevel="0" collapsed="false">
      <c r="B31" s="3" t="s">
        <v>138</v>
      </c>
    </row>
    <row r="33" customFormat="false" ht="15" hidden="false" customHeight="false" outlineLevel="0" collapsed="false">
      <c r="A33" s="4" t="s">
        <v>139</v>
      </c>
      <c r="B33" s="4"/>
      <c r="C33" s="4"/>
      <c r="D33" s="4"/>
      <c r="E33" s="4"/>
      <c r="F33" s="4"/>
      <c r="G33" s="4"/>
      <c r="H33" s="4"/>
      <c r="I33" s="4"/>
      <c r="J33" s="4"/>
    </row>
    <row r="34" customFormat="false" ht="15" hidden="false" customHeight="false" outlineLevel="0" collapsed="false">
      <c r="B34" s="5" t="s">
        <v>140</v>
      </c>
      <c r="C34" s="49" t="n">
        <v>0.05</v>
      </c>
      <c r="D34" s="49" t="n">
        <v>0.1</v>
      </c>
      <c r="E34" s="49" t="n">
        <v>0.15</v>
      </c>
      <c r="F34" s="49" t="n">
        <v>0.2</v>
      </c>
      <c r="G34" s="44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Q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13" min="9" style="0" width="12"/>
    <col collapsed="false" customWidth="true" hidden="false" outlineLevel="0" max="14" min="14" style="0" width="11"/>
    <col collapsed="false" customWidth="true" hidden="false" outlineLevel="0" max="15" min="15" style="0" width="13"/>
    <col collapsed="false" customWidth="true" hidden="false" outlineLevel="0" max="17" min="16" style="0" width="12"/>
  </cols>
  <sheetData>
    <row r="1" customFormat="false" ht="17.35" hidden="false" customHeight="false" outlineLevel="0" collapsed="false">
      <c r="A1" s="16" t="s">
        <v>142</v>
      </c>
    </row>
    <row r="2" customFormat="false" ht="15" hidden="false" customHeight="false" outlineLevel="0" collapsed="false">
      <c r="A2" s="3" t="s">
        <v>143</v>
      </c>
    </row>
    <row r="4" customFormat="false" ht="15" hidden="false" customHeight="false" outlineLevel="0" collapsed="false">
      <c r="A4" s="4" t="s">
        <v>144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customFormat="false" ht="42" hidden="false" customHeight="true" outlineLevel="0" collapsed="false">
      <c r="A5" s="18" t="s">
        <v>52</v>
      </c>
      <c r="B5" s="18" t="s">
        <v>53</v>
      </c>
      <c r="C5" s="18" t="s">
        <v>54</v>
      </c>
      <c r="D5" s="18" t="s">
        <v>55</v>
      </c>
      <c r="E5" s="18" t="s">
        <v>145</v>
      </c>
      <c r="F5" s="18" t="s">
        <v>146</v>
      </c>
      <c r="G5" s="18" t="s">
        <v>147</v>
      </c>
      <c r="H5" s="18" t="s">
        <v>148</v>
      </c>
      <c r="I5" s="18" t="s">
        <v>149</v>
      </c>
      <c r="J5" s="18" t="s">
        <v>150</v>
      </c>
      <c r="K5" s="18" t="s">
        <v>151</v>
      </c>
      <c r="L5" s="18" t="s">
        <v>152</v>
      </c>
      <c r="M5" s="18" t="s">
        <v>153</v>
      </c>
      <c r="N5" s="18" t="s">
        <v>154</v>
      </c>
      <c r="O5" s="18" t="s">
        <v>155</v>
      </c>
      <c r="P5" s="18" t="s">
        <v>156</v>
      </c>
      <c r="Q5" s="18" t="s">
        <v>60</v>
      </c>
    </row>
    <row r="6" customFormat="false" ht="15" hidden="false" customHeight="false" outlineLevel="0" collapsed="false">
      <c r="A6" s="13" t="n">
        <v>1</v>
      </c>
      <c r="B6" s="27" t="str">
        <f aca="false">'BOM &amp; COGS Ratio'!B3</f>
        <v>FB-001</v>
      </c>
      <c r="C6" s="27" t="str">
        <f aca="false">'BOM &amp; COGS Ratio'!C3</f>
        <v>Hose Caliper Front LH</v>
      </c>
      <c r="D6" s="28" t="n">
        <f aca="false">'BOM &amp; COGS Ratio'!E3</f>
        <v>1</v>
      </c>
      <c r="E6" s="12" t="str">
        <f aca="false">'BOM &amp; COGS Ratio'!F3</f>
        <v>pcs</v>
      </c>
      <c r="F6" s="12" t="str">
        <f aca="false">'Factory Information'!A5</f>
        <v>L2</v>
      </c>
      <c r="G6" s="29" t="n">
        <f aca="false">'BOM &amp; COGS Ratio'!K3</f>
        <v>12</v>
      </c>
      <c r="H6" s="21" t="n">
        <f aca="false">IF(D6=0,0,G6/D6)</f>
        <v>12</v>
      </c>
      <c r="I6" s="50" t="n">
        <f aca="false">IF($G$22=0,0,G6/$G$22)</f>
        <v>0.0427960057061341</v>
      </c>
      <c r="J6" s="51" t="n">
        <f aca="false">'BOM &amp; COGS Ratio'!J3</f>
        <v>0.0428</v>
      </c>
      <c r="K6" s="52" t="n">
        <f aca="false">ROUND(ABS(I6-J6),6)</f>
        <v>4E-006</v>
      </c>
      <c r="L6" s="21" t="n">
        <f aca="false">SUMIF($B$27:$B$48,B6,$H$27:$H$48)</f>
        <v>12</v>
      </c>
      <c r="M6" s="52" t="n">
        <f aca="false">ROUND(ABS(L6-G6),6)</f>
        <v>0</v>
      </c>
      <c r="N6" s="40" t="n">
        <f aca="false">'Factory Information'!H5</f>
        <v>0.03</v>
      </c>
      <c r="O6" s="21" t="n">
        <f aca="false">G6/(1-N6)</f>
        <v>12.3711340206186</v>
      </c>
      <c r="P6" s="21" t="n">
        <f aca="false">SUMIF($B$27:$B$48,B6,$L$27:$L$48)</f>
        <v>12</v>
      </c>
      <c r="Q6" s="21" t="n">
        <f aca="false">P6-G6</f>
        <v>0</v>
      </c>
    </row>
    <row r="7" customFormat="false" ht="15" hidden="false" customHeight="false" outlineLevel="0" collapsed="false">
      <c r="A7" s="13" t="n">
        <v>2</v>
      </c>
      <c r="B7" s="27" t="str">
        <f aca="false">'BOM &amp; COGS Ratio'!B4</f>
        <v>FB-002</v>
      </c>
      <c r="C7" s="27" t="str">
        <f aca="false">'BOM &amp; COGS Ratio'!C4</f>
        <v>Hose Caliper Front RH</v>
      </c>
      <c r="D7" s="28" t="n">
        <f aca="false">'BOM &amp; COGS Ratio'!E4</f>
        <v>1</v>
      </c>
      <c r="E7" s="12" t="str">
        <f aca="false">'BOM &amp; COGS Ratio'!F4</f>
        <v>pcs</v>
      </c>
      <c r="F7" s="12" t="str">
        <f aca="false">'Factory Information'!A5</f>
        <v>L2</v>
      </c>
      <c r="G7" s="29" t="n">
        <f aca="false">'BOM &amp; COGS Ratio'!K4</f>
        <v>12</v>
      </c>
      <c r="H7" s="21" t="n">
        <f aca="false">IF(D7=0,0,G7/D7)</f>
        <v>12</v>
      </c>
      <c r="I7" s="50" t="n">
        <f aca="false">IF($G$22=0,0,G7/$G$22)</f>
        <v>0.0427960057061341</v>
      </c>
      <c r="J7" s="51" t="n">
        <f aca="false">'BOM &amp; COGS Ratio'!J4</f>
        <v>0.0428</v>
      </c>
      <c r="K7" s="52" t="n">
        <f aca="false">ROUND(ABS(I7-J7),6)</f>
        <v>4E-006</v>
      </c>
      <c r="L7" s="21" t="n">
        <f aca="false">SUMIF($B$27:$B$48,B7,$H$27:$H$48)</f>
        <v>12</v>
      </c>
      <c r="M7" s="52" t="n">
        <f aca="false">ROUND(ABS(L7-G7),6)</f>
        <v>0</v>
      </c>
      <c r="N7" s="40" t="n">
        <f aca="false">'Factory Information'!H6</f>
        <v>0.035</v>
      </c>
      <c r="O7" s="21" t="n">
        <f aca="false">G7/(1-N7)</f>
        <v>12.4352331606218</v>
      </c>
      <c r="P7" s="21" t="n">
        <f aca="false">SUMIF($B$27:$B$48,B7,$L$27:$L$48)</f>
        <v>12</v>
      </c>
      <c r="Q7" s="21" t="n">
        <f aca="false">P7-G7</f>
        <v>0</v>
      </c>
    </row>
    <row r="8" customFormat="false" ht="15" hidden="false" customHeight="false" outlineLevel="0" collapsed="false">
      <c r="A8" s="13" t="n">
        <v>3</v>
      </c>
      <c r="B8" s="27" t="str">
        <f aca="false">'BOM &amp; COGS Ratio'!B5</f>
        <v>FB-003</v>
      </c>
      <c r="C8" s="27" t="str">
        <f aca="false">'BOM &amp; COGS Ratio'!C5</f>
        <v>Seal - Brass Hydraulic</v>
      </c>
      <c r="D8" s="28" t="n">
        <f aca="false">'BOM &amp; COGS Ratio'!E5</f>
        <v>4</v>
      </c>
      <c r="E8" s="12" t="str">
        <f aca="false">'BOM &amp; COGS Ratio'!F5</f>
        <v>pcs</v>
      </c>
      <c r="F8" s="12" t="str">
        <f aca="false">'Factory Information'!A13</f>
        <v>L8</v>
      </c>
      <c r="G8" s="29" t="n">
        <f aca="false">'BOM &amp; COGS Ratio'!K5</f>
        <v>6</v>
      </c>
      <c r="H8" s="21" t="n">
        <f aca="false">IF(D8=0,0,G8/D8)</f>
        <v>1.5</v>
      </c>
      <c r="I8" s="50" t="n">
        <f aca="false">IF($G$22=0,0,G8/$G$22)</f>
        <v>0.0213980028530671</v>
      </c>
      <c r="J8" s="51" t="n">
        <f aca="false">'BOM &amp; COGS Ratio'!J5</f>
        <v>0.0214</v>
      </c>
      <c r="K8" s="52" t="n">
        <f aca="false">ROUND(ABS(I8-J8),6)</f>
        <v>2E-006</v>
      </c>
      <c r="L8" s="21" t="n">
        <f aca="false">SUMIF($B$27:$B$48,B8,$H$27:$H$48)</f>
        <v>6</v>
      </c>
      <c r="M8" s="52" t="n">
        <f aca="false">ROUND(ABS(L8-G8),6)</f>
        <v>0</v>
      </c>
      <c r="N8" s="40" t="n">
        <f aca="false">'Factory Information'!H13</f>
        <v>0.04</v>
      </c>
      <c r="O8" s="21" t="n">
        <f aca="false">G8/(1-N8)</f>
        <v>6.25</v>
      </c>
      <c r="P8" s="21" t="n">
        <f aca="false">SUMIF($B$27:$B$48,B8,$L$27:$L$48)</f>
        <v>6</v>
      </c>
      <c r="Q8" s="21" t="n">
        <f aca="false">P8-G8</f>
        <v>0</v>
      </c>
    </row>
    <row r="9" customFormat="false" ht="15" hidden="false" customHeight="false" outlineLevel="0" collapsed="false">
      <c r="A9" s="13" t="n">
        <v>4</v>
      </c>
      <c r="B9" s="27" t="str">
        <f aca="false">'BOM &amp; COGS Ratio'!B6</f>
        <v>FB-004</v>
      </c>
      <c r="C9" s="27" t="str">
        <f aca="false">'BOM &amp; COGS Ratio'!C6</f>
        <v>Retain Clip Hose Frame Attach</v>
      </c>
      <c r="D9" s="28" t="n">
        <f aca="false">'BOM &amp; COGS Ratio'!E6</f>
        <v>2</v>
      </c>
      <c r="E9" s="12" t="str">
        <f aca="false">'BOM &amp; COGS Ratio'!F6</f>
        <v>pcs</v>
      </c>
      <c r="F9" s="12" t="str">
        <f aca="false">'Factory Information'!A14</f>
        <v>L9</v>
      </c>
      <c r="G9" s="29" t="n">
        <f aca="false">'BOM &amp; COGS Ratio'!K6</f>
        <v>1</v>
      </c>
      <c r="H9" s="21" t="n">
        <f aca="false">IF(D9=0,0,G9/D9)</f>
        <v>0.5</v>
      </c>
      <c r="I9" s="50" t="n">
        <f aca="false">IF($G$22=0,0,G9/$G$22)</f>
        <v>0.00356633380884451</v>
      </c>
      <c r="J9" s="51" t="n">
        <f aca="false">'BOM &amp; COGS Ratio'!J6</f>
        <v>0.0036</v>
      </c>
      <c r="K9" s="52" t="n">
        <f aca="false">ROUND(ABS(I9-J9),6)</f>
        <v>3.4E-005</v>
      </c>
      <c r="L9" s="21" t="n">
        <f aca="false">SUMIF($B$27:$B$48,B9,$H$27:$H$48)</f>
        <v>1</v>
      </c>
      <c r="M9" s="52" t="n">
        <f aca="false">ROUND(ABS(L9-G9),6)</f>
        <v>0</v>
      </c>
      <c r="N9" s="40" t="n">
        <f aca="false">'Factory Information'!H14</f>
        <v>0.02</v>
      </c>
      <c r="O9" s="21" t="n">
        <f aca="false">G9/(1-N9)</f>
        <v>1.02040816326531</v>
      </c>
      <c r="P9" s="21" t="n">
        <f aca="false">SUMIF($B$27:$B$48,B9,$L$27:$L$48)</f>
        <v>1</v>
      </c>
      <c r="Q9" s="21" t="n">
        <f aca="false">P9-G9</f>
        <v>0</v>
      </c>
    </row>
    <row r="10" customFormat="false" ht="15" hidden="false" customHeight="false" outlineLevel="0" collapsed="false">
      <c r="A10" s="13" t="n">
        <v>5</v>
      </c>
      <c r="B10" s="27" t="str">
        <f aca="false">'BOM &amp; COGS Ratio'!B7</f>
        <v>FB-005</v>
      </c>
      <c r="C10" s="27" t="str">
        <f aca="false">'BOM &amp; COGS Ratio'!C7</f>
        <v>Stainless Brake Lines</v>
      </c>
      <c r="D10" s="28" t="n">
        <f aca="false">'BOM &amp; COGS Ratio'!E7</f>
        <v>2</v>
      </c>
      <c r="E10" s="12" t="str">
        <f aca="false">'BOM &amp; COGS Ratio'!F7</f>
        <v>pcs</v>
      </c>
      <c r="F10" s="12" t="str">
        <f aca="false">'Factory Information'!A7</f>
        <v>L3</v>
      </c>
      <c r="G10" s="29" t="n">
        <f aca="false">'BOM &amp; COGS Ratio'!K7</f>
        <v>16</v>
      </c>
      <c r="H10" s="21" t="n">
        <f aca="false">IF(D10=0,0,G10/D10)</f>
        <v>8</v>
      </c>
      <c r="I10" s="50" t="n">
        <f aca="false">IF($G$22=0,0,G10/$G$22)</f>
        <v>0.0570613409415121</v>
      </c>
      <c r="J10" s="51" t="n">
        <f aca="false">'BOM &amp; COGS Ratio'!J7</f>
        <v>0.0571</v>
      </c>
      <c r="K10" s="52" t="n">
        <f aca="false">ROUND(ABS(I10-J10),6)</f>
        <v>3.9E-005</v>
      </c>
      <c r="L10" s="21" t="n">
        <f aca="false">SUMIF($B$27:$B$48,B10,$H$27:$H$48)</f>
        <v>16</v>
      </c>
      <c r="M10" s="52" t="n">
        <f aca="false">ROUND(ABS(L10-G10),6)</f>
        <v>0</v>
      </c>
      <c r="N10" s="40" t="n">
        <f aca="false">'Factory Information'!H7</f>
        <v>0.02</v>
      </c>
      <c r="O10" s="21" t="n">
        <f aca="false">G10/(1-N10)</f>
        <v>16.3265306122449</v>
      </c>
      <c r="P10" s="21" t="n">
        <f aca="false">SUMIF($B$27:$B$48,B10,$L$27:$L$48)</f>
        <v>16</v>
      </c>
      <c r="Q10" s="21" t="n">
        <f aca="false">P10-G10</f>
        <v>0</v>
      </c>
    </row>
    <row r="11" customFormat="false" ht="15" hidden="false" customHeight="false" outlineLevel="0" collapsed="false">
      <c r="A11" s="13" t="n">
        <v>6</v>
      </c>
      <c r="B11" s="27" t="str">
        <f aca="false">'BOM &amp; COGS Ratio'!B8</f>
        <v>FB-006</v>
      </c>
      <c r="C11" s="27" t="str">
        <f aca="false">'BOM &amp; COGS Ratio'!C8</f>
        <v>Caliper Disc Front LH</v>
      </c>
      <c r="D11" s="28" t="n">
        <f aca="false">'BOM &amp; COGS Ratio'!E8</f>
        <v>1</v>
      </c>
      <c r="E11" s="12" t="str">
        <f aca="false">'BOM &amp; COGS Ratio'!F8</f>
        <v>pcs</v>
      </c>
      <c r="F11" s="12" t="str">
        <f aca="false">'Factory Information'!A9</f>
        <v>L5</v>
      </c>
      <c r="G11" s="29" t="n">
        <f aca="false">'BOM &amp; COGS Ratio'!K8</f>
        <v>50</v>
      </c>
      <c r="H11" s="21" t="n">
        <f aca="false">IF(D11=0,0,G11/D11)</f>
        <v>50</v>
      </c>
      <c r="I11" s="50" t="n">
        <f aca="false">IF($G$22=0,0,G11/$G$22)</f>
        <v>0.178316690442225</v>
      </c>
      <c r="J11" s="51" t="n">
        <f aca="false">'BOM &amp; COGS Ratio'!J8</f>
        <v>0.1783</v>
      </c>
      <c r="K11" s="52" t="n">
        <f aca="false">ROUND(ABS(I11-J11),6)</f>
        <v>1.7E-005</v>
      </c>
      <c r="L11" s="21" t="n">
        <f aca="false">SUMIF($B$27:$B$48,B11,$H$27:$H$48)</f>
        <v>50</v>
      </c>
      <c r="M11" s="52" t="n">
        <f aca="false">ROUND(ABS(L11-G11),6)</f>
        <v>0</v>
      </c>
      <c r="N11" s="40" t="n">
        <f aca="false">'Factory Information'!H9</f>
        <v>0.024</v>
      </c>
      <c r="O11" s="21" t="n">
        <f aca="false">G11/(1-N11)</f>
        <v>51.2295081967213</v>
      </c>
      <c r="P11" s="21" t="n">
        <f aca="false">SUMIF($B$27:$B$48,B11,$L$27:$L$48)</f>
        <v>50</v>
      </c>
      <c r="Q11" s="21" t="n">
        <f aca="false">P11-G11</f>
        <v>0</v>
      </c>
    </row>
    <row r="12" customFormat="false" ht="15" hidden="false" customHeight="false" outlineLevel="0" collapsed="false">
      <c r="A12" s="13" t="n">
        <v>7</v>
      </c>
      <c r="B12" s="27" t="str">
        <f aca="false">'BOM &amp; COGS Ratio'!B9</f>
        <v>FB-007</v>
      </c>
      <c r="C12" s="27" t="str">
        <f aca="false">'BOM &amp; COGS Ratio'!C9</f>
        <v>Caliper Disc Front RH</v>
      </c>
      <c r="D12" s="28" t="n">
        <f aca="false">'BOM &amp; COGS Ratio'!E9</f>
        <v>1</v>
      </c>
      <c r="E12" s="12" t="str">
        <f aca="false">'BOM &amp; COGS Ratio'!F9</f>
        <v>pcs</v>
      </c>
      <c r="F12" s="12" t="str">
        <f aca="false">'Factory Information'!A9</f>
        <v>L5</v>
      </c>
      <c r="G12" s="29" t="n">
        <f aca="false">'BOM &amp; COGS Ratio'!K9</f>
        <v>50</v>
      </c>
      <c r="H12" s="21" t="n">
        <f aca="false">IF(D12=0,0,G12/D12)</f>
        <v>50</v>
      </c>
      <c r="I12" s="50" t="n">
        <f aca="false">IF($G$22=0,0,G12/$G$22)</f>
        <v>0.178316690442225</v>
      </c>
      <c r="J12" s="51" t="n">
        <f aca="false">'BOM &amp; COGS Ratio'!J9</f>
        <v>0.1783</v>
      </c>
      <c r="K12" s="52" t="n">
        <f aca="false">ROUND(ABS(I12-J12),6)</f>
        <v>1.7E-005</v>
      </c>
      <c r="L12" s="21" t="n">
        <f aca="false">SUMIF($B$27:$B$48,B12,$H$27:$H$48)</f>
        <v>50</v>
      </c>
      <c r="M12" s="52" t="n">
        <f aca="false">ROUND(ABS(L12-G12),6)</f>
        <v>0</v>
      </c>
      <c r="N12" s="40" t="n">
        <f aca="false">'Factory Information'!H10</f>
        <v>0.026</v>
      </c>
      <c r="O12" s="21" t="n">
        <f aca="false">G12/(1-N12)</f>
        <v>51.3347022587269</v>
      </c>
      <c r="P12" s="21" t="n">
        <f aca="false">SUMIF($B$27:$B$48,B12,$L$27:$L$48)</f>
        <v>50</v>
      </c>
      <c r="Q12" s="21" t="n">
        <f aca="false">P12-G12</f>
        <v>0</v>
      </c>
    </row>
    <row r="13" customFormat="false" ht="15" hidden="false" customHeight="false" outlineLevel="0" collapsed="false">
      <c r="A13" s="13" t="n">
        <v>8</v>
      </c>
      <c r="B13" s="27" t="str">
        <f aca="false">'BOM &amp; COGS Ratio'!B10</f>
        <v>FB-008</v>
      </c>
      <c r="C13" s="27" t="str">
        <f aca="false">'BOM &amp; COGS Ratio'!C10</f>
        <v>Rotor Disc Brake</v>
      </c>
      <c r="D13" s="28" t="n">
        <f aca="false">'BOM &amp; COGS Ratio'!E10</f>
        <v>2</v>
      </c>
      <c r="E13" s="12" t="str">
        <f aca="false">'BOM &amp; COGS Ratio'!F10</f>
        <v>pcs</v>
      </c>
      <c r="F13" s="12" t="str">
        <f aca="false">'Factory Information'!A4</f>
        <v>L1</v>
      </c>
      <c r="G13" s="29" t="n">
        <f aca="false">'BOM &amp; COGS Ratio'!K10</f>
        <v>50</v>
      </c>
      <c r="H13" s="21" t="n">
        <f aca="false">IF(D13=0,0,G13/D13)</f>
        <v>25</v>
      </c>
      <c r="I13" s="50" t="n">
        <f aca="false">IF($G$22=0,0,G13/$G$22)</f>
        <v>0.178316690442225</v>
      </c>
      <c r="J13" s="51" t="n">
        <f aca="false">'BOM &amp; COGS Ratio'!J10</f>
        <v>0.1783</v>
      </c>
      <c r="K13" s="52" t="n">
        <f aca="false">ROUND(ABS(I13-J13),6)</f>
        <v>1.7E-005</v>
      </c>
      <c r="L13" s="21" t="n">
        <f aca="false">SUMIF($B$27:$B$48,B13,$H$27:$H$48)</f>
        <v>50</v>
      </c>
      <c r="M13" s="52" t="n">
        <f aca="false">ROUND(ABS(L13-G13),6)</f>
        <v>0</v>
      </c>
      <c r="N13" s="40" t="n">
        <f aca="false">'Factory Information'!H4</f>
        <v>0.025</v>
      </c>
      <c r="O13" s="21" t="n">
        <f aca="false">G13/(1-N13)</f>
        <v>51.2820512820513</v>
      </c>
      <c r="P13" s="21" t="n">
        <f aca="false">SUMIF($B$27:$B$48,B13,$L$27:$L$48)</f>
        <v>50</v>
      </c>
      <c r="Q13" s="21" t="n">
        <f aca="false">P13-G13</f>
        <v>0</v>
      </c>
    </row>
    <row r="14" customFormat="false" ht="15" hidden="false" customHeight="false" outlineLevel="0" collapsed="false">
      <c r="A14" s="13" t="n">
        <v>9</v>
      </c>
      <c r="B14" s="27" t="str">
        <f aca="false">'BOM &amp; COGS Ratio'!B11</f>
        <v>FB-009</v>
      </c>
      <c r="C14" s="27" t="str">
        <f aca="false">'BOM &amp; COGS Ratio'!C11</f>
        <v>Bearing Inner Wheel</v>
      </c>
      <c r="D14" s="28" t="n">
        <f aca="false">'BOM &amp; COGS Ratio'!E11</f>
        <v>2</v>
      </c>
      <c r="E14" s="12" t="str">
        <f aca="false">'BOM &amp; COGS Ratio'!F11</f>
        <v>pcs</v>
      </c>
      <c r="F14" s="12" t="str">
        <f aca="false">'Factory Information'!A11</f>
        <v>L6</v>
      </c>
      <c r="G14" s="29" t="n">
        <f aca="false">'BOM &amp; COGS Ratio'!K11</f>
        <v>20</v>
      </c>
      <c r="H14" s="21" t="n">
        <f aca="false">IF(D14=0,0,G14/D14)</f>
        <v>10</v>
      </c>
      <c r="I14" s="50" t="n">
        <f aca="false">IF($G$22=0,0,G14/$G$22)</f>
        <v>0.0713266761768902</v>
      </c>
      <c r="J14" s="51" t="n">
        <f aca="false">'BOM &amp; COGS Ratio'!J11</f>
        <v>0.0713</v>
      </c>
      <c r="K14" s="52" t="n">
        <f aca="false">ROUND(ABS(I14-J14),6)</f>
        <v>2.7E-005</v>
      </c>
      <c r="L14" s="21" t="n">
        <f aca="false">SUMIF($B$27:$B$48,B14,$H$27:$H$48)</f>
        <v>20</v>
      </c>
      <c r="M14" s="52" t="n">
        <f aca="false">ROUND(ABS(L14-G14),6)</f>
        <v>0</v>
      </c>
      <c r="N14" s="40" t="n">
        <f aca="false">'Factory Information'!H11</f>
        <v>0.031</v>
      </c>
      <c r="O14" s="21" t="n">
        <f aca="false">G14/(1-N14)</f>
        <v>20.639834881321</v>
      </c>
      <c r="P14" s="21" t="n">
        <f aca="false">SUMIF($B$27:$B$48,B14,$L$27:$L$48)</f>
        <v>20</v>
      </c>
      <c r="Q14" s="21" t="n">
        <f aca="false">P14-G14</f>
        <v>0</v>
      </c>
    </row>
    <row r="15" customFormat="false" ht="15" hidden="false" customHeight="false" outlineLevel="0" collapsed="false">
      <c r="A15" s="13" t="n">
        <v>10</v>
      </c>
      <c r="B15" s="27" t="str">
        <f aca="false">'BOM &amp; COGS Ratio'!B12</f>
        <v>FB-010</v>
      </c>
      <c r="C15" s="27" t="str">
        <f aca="false">'BOM &amp; COGS Ratio'!C12</f>
        <v>Bearing Outer Wheel</v>
      </c>
      <c r="D15" s="28" t="n">
        <f aca="false">'BOM &amp; COGS Ratio'!E12</f>
        <v>2</v>
      </c>
      <c r="E15" s="12" t="str">
        <f aca="false">'BOM &amp; COGS Ratio'!F12</f>
        <v>pcs</v>
      </c>
      <c r="F15" s="12" t="str">
        <f aca="false">'Factory Information'!A12</f>
        <v>L7</v>
      </c>
      <c r="G15" s="29" t="n">
        <f aca="false">'BOM &amp; COGS Ratio'!K12</f>
        <v>20</v>
      </c>
      <c r="H15" s="21" t="n">
        <f aca="false">IF(D15=0,0,G15/D15)</f>
        <v>10</v>
      </c>
      <c r="I15" s="50" t="n">
        <f aca="false">IF($G$22=0,0,G15/$G$22)</f>
        <v>0.0713266761768902</v>
      </c>
      <c r="J15" s="51" t="n">
        <f aca="false">'BOM &amp; COGS Ratio'!J12</f>
        <v>0.0713</v>
      </c>
      <c r="K15" s="52" t="n">
        <f aca="false">ROUND(ABS(I15-J15),6)</f>
        <v>2.7E-005</v>
      </c>
      <c r="L15" s="21" t="n">
        <f aca="false">SUMIF($B$27:$B$48,B15,$H$27:$H$48)</f>
        <v>20</v>
      </c>
      <c r="M15" s="52" t="n">
        <f aca="false">ROUND(ABS(L15-G15),6)</f>
        <v>0</v>
      </c>
      <c r="N15" s="40" t="n">
        <f aca="false">'Factory Information'!H12</f>
        <v>0.045</v>
      </c>
      <c r="O15" s="21" t="n">
        <f aca="false">G15/(1-N15)</f>
        <v>20.9424083769634</v>
      </c>
      <c r="P15" s="21" t="n">
        <f aca="false">SUMIF($B$27:$B$48,B15,$L$27:$L$48)</f>
        <v>20</v>
      </c>
      <c r="Q15" s="21" t="n">
        <f aca="false">P15-G15</f>
        <v>0</v>
      </c>
    </row>
    <row r="16" customFormat="false" ht="15" hidden="false" customHeight="false" outlineLevel="0" collapsed="false">
      <c r="A16" s="13" t="n">
        <v>11</v>
      </c>
      <c r="B16" s="27" t="str">
        <f aca="false">'BOM &amp; COGS Ratio'!B13</f>
        <v>FB-011</v>
      </c>
      <c r="C16" s="27" t="str">
        <f aca="false">'BOM &amp; COGS Ratio'!C13</f>
        <v>Washer Retainer Outer Bearing</v>
      </c>
      <c r="D16" s="28" t="n">
        <f aca="false">'BOM &amp; COGS Ratio'!E13</f>
        <v>2</v>
      </c>
      <c r="E16" s="12" t="str">
        <f aca="false">'BOM &amp; COGS Ratio'!F13</f>
        <v>pcs</v>
      </c>
      <c r="F16" s="12" t="str">
        <f aca="false">'Factory Information'!A17</f>
        <v>L12</v>
      </c>
      <c r="G16" s="29" t="n">
        <f aca="false">'BOM &amp; COGS Ratio'!K13</f>
        <v>1</v>
      </c>
      <c r="H16" s="21" t="n">
        <f aca="false">IF(D16=0,0,G16/D16)</f>
        <v>0.5</v>
      </c>
      <c r="I16" s="50" t="n">
        <f aca="false">IF($G$22=0,0,G16/$G$22)</f>
        <v>0.00356633380884451</v>
      </c>
      <c r="J16" s="51" t="n">
        <f aca="false">'BOM &amp; COGS Ratio'!J13</f>
        <v>0.0036</v>
      </c>
      <c r="K16" s="52" t="n">
        <f aca="false">ROUND(ABS(I16-J16),6)</f>
        <v>3.4E-005</v>
      </c>
      <c r="L16" s="21" t="n">
        <f aca="false">SUMIF($B$27:$B$48,B16,$H$27:$H$48)</f>
        <v>1</v>
      </c>
      <c r="M16" s="52" t="n">
        <f aca="false">ROUND(ABS(L16-G16),6)</f>
        <v>0</v>
      </c>
      <c r="N16" s="40" t="n">
        <f aca="false">'Factory Information'!H17</f>
        <v>0.027</v>
      </c>
      <c r="O16" s="21" t="n">
        <f aca="false">G16/(1-N16)</f>
        <v>1.02774922918808</v>
      </c>
      <c r="P16" s="21" t="n">
        <f aca="false">SUMIF($B$27:$B$48,B16,$L$27:$L$48)</f>
        <v>1</v>
      </c>
      <c r="Q16" s="21" t="n">
        <f aca="false">P16-G16</f>
        <v>0</v>
      </c>
    </row>
    <row r="17" customFormat="false" ht="15" hidden="false" customHeight="false" outlineLevel="0" collapsed="false">
      <c r="A17" s="13" t="n">
        <v>12</v>
      </c>
      <c r="B17" s="27" t="str">
        <f aca="false">'BOM &amp; COGS Ratio'!B14</f>
        <v>FB-012</v>
      </c>
      <c r="C17" s="27" t="str">
        <f aca="false">'BOM &amp; COGS Ratio'!C14</f>
        <v>Cotter Key</v>
      </c>
      <c r="D17" s="28" t="n">
        <f aca="false">'BOM &amp; COGS Ratio'!E14</f>
        <v>2</v>
      </c>
      <c r="E17" s="12" t="str">
        <f aca="false">'BOM &amp; COGS Ratio'!F14</f>
        <v>pcs</v>
      </c>
      <c r="F17" s="12" t="str">
        <f aca="false">'Factory Information'!A18</f>
        <v>L13</v>
      </c>
      <c r="G17" s="29" t="n">
        <f aca="false">'BOM &amp; COGS Ratio'!K14</f>
        <v>0.4</v>
      </c>
      <c r="H17" s="21" t="n">
        <f aca="false">IF(D17=0,0,G17/D17)</f>
        <v>0.2</v>
      </c>
      <c r="I17" s="50" t="n">
        <f aca="false">IF($G$22=0,0,G17/$G$22)</f>
        <v>0.0014265335235378</v>
      </c>
      <c r="J17" s="51" t="n">
        <f aca="false">'BOM &amp; COGS Ratio'!J14</f>
        <v>0.0014</v>
      </c>
      <c r="K17" s="52" t="n">
        <f aca="false">ROUND(ABS(I17-J17),6)</f>
        <v>2.7E-005</v>
      </c>
      <c r="L17" s="21" t="n">
        <f aca="false">SUMIF($B$27:$B$48,B17,$H$27:$H$48)</f>
        <v>0.4</v>
      </c>
      <c r="M17" s="52" t="n">
        <f aca="false">ROUND(ABS(L17-G17),6)</f>
        <v>0</v>
      </c>
      <c r="N17" s="40" t="n">
        <f aca="false">'Factory Information'!H18</f>
        <v>0.025</v>
      </c>
      <c r="O17" s="21" t="n">
        <f aca="false">G17/(1-N17)</f>
        <v>0.41025641025641</v>
      </c>
      <c r="P17" s="21" t="n">
        <f aca="false">SUMIF($B$27:$B$48,B17,$L$27:$L$48)</f>
        <v>0.4</v>
      </c>
      <c r="Q17" s="21" t="n">
        <f aca="false">P17-G17</f>
        <v>0</v>
      </c>
    </row>
    <row r="18" customFormat="false" ht="15" hidden="false" customHeight="false" outlineLevel="0" collapsed="false">
      <c r="A18" s="13" t="n">
        <v>13</v>
      </c>
      <c r="B18" s="27" t="str">
        <f aca="false">'BOM &amp; COGS Ratio'!B15</f>
        <v>FB-013</v>
      </c>
      <c r="C18" s="27" t="str">
        <f aca="false">'BOM &amp; COGS Ratio'!C15</f>
        <v>Seal Grease</v>
      </c>
      <c r="D18" s="28" t="n">
        <f aca="false">'BOM &amp; COGS Ratio'!E15</f>
        <v>2</v>
      </c>
      <c r="E18" s="12" t="str">
        <f aca="false">'BOM &amp; COGS Ratio'!F15</f>
        <v>pcs</v>
      </c>
      <c r="F18" s="12" t="str">
        <f aca="false">'Factory Information'!A19</f>
        <v>L14</v>
      </c>
      <c r="G18" s="29" t="n">
        <f aca="false">'BOM &amp; COGS Ratio'!K15</f>
        <v>4</v>
      </c>
      <c r="H18" s="21" t="n">
        <f aca="false">IF(D18=0,0,G18/D18)</f>
        <v>2</v>
      </c>
      <c r="I18" s="50" t="n">
        <f aca="false">IF($G$22=0,0,G18/$G$22)</f>
        <v>0.014265335235378</v>
      </c>
      <c r="J18" s="51" t="n">
        <f aca="false">'BOM &amp; COGS Ratio'!J15</f>
        <v>0.0143</v>
      </c>
      <c r="K18" s="52" t="n">
        <f aca="false">ROUND(ABS(I18-J18),6)</f>
        <v>3.5E-005</v>
      </c>
      <c r="L18" s="21" t="n">
        <f aca="false">SUMIF($B$27:$B$48,B18,$H$27:$H$48)</f>
        <v>4</v>
      </c>
      <c r="M18" s="52" t="n">
        <f aca="false">ROUND(ABS(L18-G18),6)</f>
        <v>0</v>
      </c>
      <c r="N18" s="40" t="n">
        <f aca="false">'Factory Information'!H19</f>
        <v>0.025</v>
      </c>
      <c r="O18" s="21" t="n">
        <f aca="false">G18/(1-N18)</f>
        <v>4.1025641025641</v>
      </c>
      <c r="P18" s="21" t="n">
        <f aca="false">SUMIF($B$27:$B$48,B18,$L$27:$L$48)</f>
        <v>4</v>
      </c>
      <c r="Q18" s="21" t="n">
        <f aca="false">P18-G18</f>
        <v>0</v>
      </c>
    </row>
    <row r="19" customFormat="false" ht="15" hidden="false" customHeight="false" outlineLevel="0" collapsed="false">
      <c r="A19" s="13" t="n">
        <v>14</v>
      </c>
      <c r="B19" s="27" t="str">
        <f aca="false">'BOM &amp; COGS Ratio'!B16</f>
        <v>FB-014</v>
      </c>
      <c r="C19" s="27" t="str">
        <f aca="false">'BOM &amp; COGS Ratio'!C16</f>
        <v>Cap Dust</v>
      </c>
      <c r="D19" s="28" t="n">
        <f aca="false">'BOM &amp; COGS Ratio'!E16</f>
        <v>2</v>
      </c>
      <c r="E19" s="12" t="str">
        <f aca="false">'BOM &amp; COGS Ratio'!F16</f>
        <v>pcs</v>
      </c>
      <c r="F19" s="12" t="str">
        <f aca="false">'Factory Information'!A15</f>
        <v>L10</v>
      </c>
      <c r="G19" s="29" t="n">
        <f aca="false">'BOM &amp; COGS Ratio'!K16</f>
        <v>2</v>
      </c>
      <c r="H19" s="21" t="n">
        <f aca="false">IF(D19=0,0,G19/D19)</f>
        <v>1</v>
      </c>
      <c r="I19" s="50" t="n">
        <f aca="false">IF($G$22=0,0,G19/$G$22)</f>
        <v>0.00713266761768902</v>
      </c>
      <c r="J19" s="51" t="n">
        <f aca="false">'BOM &amp; COGS Ratio'!J16</f>
        <v>0.0071</v>
      </c>
      <c r="K19" s="52" t="n">
        <f aca="false">ROUND(ABS(I19-J19),6)</f>
        <v>3.3E-005</v>
      </c>
      <c r="L19" s="21" t="n">
        <f aca="false">SUMIF($B$27:$B$48,B19,$H$27:$H$48)</f>
        <v>2</v>
      </c>
      <c r="M19" s="52" t="n">
        <f aca="false">ROUND(ABS(L19-G19),6)</f>
        <v>0</v>
      </c>
      <c r="N19" s="40" t="n">
        <f aca="false">'Factory Information'!H15</f>
        <v>0.024</v>
      </c>
      <c r="O19" s="21" t="n">
        <f aca="false">G19/(1-N19)</f>
        <v>2.04918032786885</v>
      </c>
      <c r="P19" s="21" t="n">
        <f aca="false">SUMIF($B$27:$B$48,B19,$L$27:$L$48)</f>
        <v>2</v>
      </c>
      <c r="Q19" s="21" t="n">
        <f aca="false">P19-G19</f>
        <v>0</v>
      </c>
    </row>
    <row r="20" customFormat="false" ht="15" hidden="false" customHeight="false" outlineLevel="0" collapsed="false">
      <c r="A20" s="13" t="n">
        <v>15</v>
      </c>
      <c r="B20" s="27" t="str">
        <f aca="false">'BOM &amp; COGS Ratio'!B17</f>
        <v>FB-015</v>
      </c>
      <c r="C20" s="27" t="str">
        <f aca="false">'BOM &amp; COGS Ratio'!C17</f>
        <v>Pads - Disc Kit</v>
      </c>
      <c r="D20" s="28" t="n">
        <f aca="false">'BOM &amp; COGS Ratio'!E17</f>
        <v>1</v>
      </c>
      <c r="E20" s="12" t="str">
        <f aca="false">'BOM &amp; COGS Ratio'!F17</f>
        <v>set</v>
      </c>
      <c r="F20" s="12" t="str">
        <f aca="false">'Factory Information'!A16</f>
        <v>L11</v>
      </c>
      <c r="G20" s="29" t="n">
        <f aca="false">'BOM &amp; COGS Ratio'!K17</f>
        <v>30</v>
      </c>
      <c r="H20" s="21" t="n">
        <f aca="false">IF(D20=0,0,G20/D20)</f>
        <v>30</v>
      </c>
      <c r="I20" s="50" t="n">
        <f aca="false">IF($G$22=0,0,G20/$G$22)</f>
        <v>0.106990014265335</v>
      </c>
      <c r="J20" s="51" t="n">
        <f aca="false">'BOM &amp; COGS Ratio'!J17</f>
        <v>0.107</v>
      </c>
      <c r="K20" s="52" t="n">
        <f aca="false">ROUND(ABS(I20-J20),6)</f>
        <v>1E-005</v>
      </c>
      <c r="L20" s="21" t="n">
        <f aca="false">SUMIF($B$27:$B$48,B20,$H$27:$H$48)</f>
        <v>30</v>
      </c>
      <c r="M20" s="52" t="n">
        <f aca="false">ROUND(ABS(L20-G20),6)</f>
        <v>0</v>
      </c>
      <c r="N20" s="40" t="n">
        <f aca="false">'Factory Information'!H16</f>
        <v>0.03</v>
      </c>
      <c r="O20" s="21" t="n">
        <f aca="false">G20/(1-N20)</f>
        <v>30.9278350515464</v>
      </c>
      <c r="P20" s="21" t="n">
        <f aca="false">SUMIF($B$27:$B$48,B20,$L$27:$L$48)</f>
        <v>30</v>
      </c>
      <c r="Q20" s="21" t="n">
        <f aca="false">P20-G20</f>
        <v>0</v>
      </c>
    </row>
    <row r="21" customFormat="false" ht="15" hidden="false" customHeight="false" outlineLevel="0" collapsed="false">
      <c r="A21" s="13" t="n">
        <v>16</v>
      </c>
      <c r="B21" s="27" t="str">
        <f aca="false">'BOM &amp; COGS Ratio'!B18</f>
        <v>FB-016</v>
      </c>
      <c r="C21" s="27" t="str">
        <f aca="false">'BOM &amp; COGS Ratio'!C18</f>
        <v>Tube Hyd Front Distribution</v>
      </c>
      <c r="D21" s="28" t="n">
        <f aca="false">'BOM &amp; COGS Ratio'!E18</f>
        <v>1</v>
      </c>
      <c r="E21" s="12" t="str">
        <f aca="false">'BOM &amp; COGS Ratio'!F18</f>
        <v>pcs</v>
      </c>
      <c r="F21" s="12" t="str">
        <f aca="false">'Factory Information'!A8</f>
        <v>L4</v>
      </c>
      <c r="G21" s="29" t="n">
        <f aca="false">'BOM &amp; COGS Ratio'!K18</f>
        <v>6</v>
      </c>
      <c r="H21" s="21" t="n">
        <f aca="false">IF(D21=0,0,G21/D21)</f>
        <v>6</v>
      </c>
      <c r="I21" s="50" t="n">
        <f aca="false">IF($G$22=0,0,G21/$G$22)</f>
        <v>0.0213980028530671</v>
      </c>
      <c r="J21" s="51" t="n">
        <f aca="false">'BOM &amp; COGS Ratio'!J18</f>
        <v>0.0214</v>
      </c>
      <c r="K21" s="52" t="n">
        <f aca="false">ROUND(ABS(I21-J21),6)</f>
        <v>2E-006</v>
      </c>
      <c r="L21" s="21" t="n">
        <f aca="false">SUMIF($B$27:$B$48,B21,$H$27:$H$48)</f>
        <v>6</v>
      </c>
      <c r="M21" s="52" t="n">
        <f aca="false">ROUND(ABS(L21-G21),6)</f>
        <v>0</v>
      </c>
      <c r="N21" s="40" t="n">
        <f aca="false">'Factory Information'!H8</f>
        <v>0.025</v>
      </c>
      <c r="O21" s="21" t="n">
        <f aca="false">G21/(1-N21)</f>
        <v>6.15384615384615</v>
      </c>
      <c r="P21" s="21" t="n">
        <f aca="false">SUMIF($B$27:$B$48,B21,$L$27:$L$48)</f>
        <v>6</v>
      </c>
      <c r="Q21" s="21" t="n">
        <f aca="false">P21-G21</f>
        <v>0</v>
      </c>
    </row>
    <row r="22" customFormat="false" ht="15" hidden="false" customHeight="false" outlineLevel="0" collapsed="false">
      <c r="A22" s="32"/>
      <c r="B22" s="33" t="s">
        <v>157</v>
      </c>
      <c r="C22" s="32"/>
      <c r="D22" s="32"/>
      <c r="E22" s="32"/>
      <c r="F22" s="32"/>
      <c r="G22" s="34" t="n">
        <f aca="false">SUM(G6:G21)</f>
        <v>280.4</v>
      </c>
      <c r="H22" s="32"/>
      <c r="I22" s="53" t="n">
        <f aca="false">SUM(I6:I21)</f>
        <v>1</v>
      </c>
      <c r="J22" s="53" t="n">
        <f aca="false">SUM(J6:J21)</f>
        <v>1</v>
      </c>
      <c r="K22" s="54" t="n">
        <f aca="false">MAX(K6:K21)</f>
        <v>3.9E-005</v>
      </c>
      <c r="L22" s="34" t="n">
        <f aca="false">SUM(L6:L21)</f>
        <v>280.4</v>
      </c>
      <c r="M22" s="54" t="n">
        <f aca="false">MAX(M6:M21)</f>
        <v>0</v>
      </c>
      <c r="N22" s="32"/>
      <c r="O22" s="34" t="n">
        <f aca="false">SUM(O6:O21)</f>
        <v>288.503242227804</v>
      </c>
      <c r="P22" s="34" t="n">
        <f aca="false">SUM(P6:P21)</f>
        <v>280.4</v>
      </c>
      <c r="Q22" s="34" t="n">
        <f aca="false">SUM(Q6:Q21)</f>
        <v>0</v>
      </c>
    </row>
    <row r="23" customFormat="false" ht="15" hidden="false" customHeight="false" outlineLevel="0" collapsed="false">
      <c r="B23" s="3" t="s">
        <v>158</v>
      </c>
    </row>
    <row r="25" customFormat="false" ht="15" hidden="false" customHeight="false" outlineLevel="0" collapsed="false">
      <c r="A25" s="4" t="s">
        <v>159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customFormat="false" ht="42" hidden="false" customHeight="true" outlineLevel="0" collapsed="false">
      <c r="A26" s="18" t="s">
        <v>52</v>
      </c>
      <c r="B26" s="18" t="s">
        <v>160</v>
      </c>
      <c r="C26" s="18" t="s">
        <v>161</v>
      </c>
      <c r="D26" s="18" t="s">
        <v>63</v>
      </c>
      <c r="E26" s="18" t="s">
        <v>64</v>
      </c>
      <c r="F26" s="18" t="s">
        <v>162</v>
      </c>
      <c r="G26" s="18" t="s">
        <v>163</v>
      </c>
      <c r="H26" s="18" t="s">
        <v>164</v>
      </c>
      <c r="I26" s="18" t="s">
        <v>165</v>
      </c>
      <c r="J26" s="18" t="s">
        <v>166</v>
      </c>
      <c r="K26" s="18" t="s">
        <v>167</v>
      </c>
      <c r="L26" s="18" t="s">
        <v>156</v>
      </c>
      <c r="M26" s="18" t="s">
        <v>60</v>
      </c>
      <c r="N26" s="18" t="s">
        <v>168</v>
      </c>
    </row>
    <row r="27" customFormat="false" ht="15" hidden="false" customHeight="false" outlineLevel="0" collapsed="false">
      <c r="A27" s="13" t="n">
        <v>1</v>
      </c>
      <c r="B27" s="27" t="str">
        <f aca="false">'BOM &amp; COGS Ratio'!D19</f>
        <v>FB-001</v>
      </c>
      <c r="C27" s="5" t="str">
        <f aca="false">INDEX($C$6:$C$21,MATCH(B27,$B$6:$B$21,0))</f>
        <v>Hose Caliper Front LH</v>
      </c>
      <c r="D27" s="27" t="str">
        <f aca="false">'BOM &amp; COGS Ratio'!B19</f>
        <v>RM-SS-TUBE-316L</v>
      </c>
      <c r="E27" s="27" t="str">
        <f aca="false">'BOM &amp; COGS Ratio'!C19</f>
        <v>Stainless Steel</v>
      </c>
      <c r="F27" s="51" t="n">
        <f aca="false">'BOM &amp; COGS Ratio'!J19</f>
        <v>0.3961</v>
      </c>
      <c r="G27" s="21" t="n">
        <f aca="false">INDEX($G$6:$G$21,MATCH(B27,$B$6:$B$21,0))</f>
        <v>12</v>
      </c>
      <c r="H27" s="55" t="n">
        <f aca="false">'BOM &amp; COGS Ratio'!K19</f>
        <v>4.7532</v>
      </c>
      <c r="I27" s="56" t="n">
        <f aca="false">F27*G27</f>
        <v>4.7532</v>
      </c>
      <c r="J27" s="52" t="n">
        <f aca="false">ROUND(ABS(I27-H27),6)</f>
        <v>0</v>
      </c>
      <c r="K27" s="57" t="n">
        <f aca="false">INDEX('RM &amp; Supplier Cost'!$K$6:$K$13,MATCH(D27,'RM &amp; Supplier Cost'!$B$6:$B$13,0))</f>
        <v>1</v>
      </c>
      <c r="L27" s="56" t="n">
        <f aca="false">H27*K27</f>
        <v>4.7532</v>
      </c>
      <c r="M27" s="56" t="n">
        <f aca="false">L27-H27</f>
        <v>0</v>
      </c>
      <c r="N27" s="50" t="n">
        <f aca="false">IF($H$49=0,0,H27/$H$49)</f>
        <v>0.0169514978601997</v>
      </c>
    </row>
    <row r="28" customFormat="false" ht="15" hidden="false" customHeight="false" outlineLevel="0" collapsed="false">
      <c r="A28" s="13" t="n">
        <v>2</v>
      </c>
      <c r="B28" s="27" t="str">
        <f aca="false">'BOM &amp; COGS Ratio'!D22</f>
        <v>FB-001</v>
      </c>
      <c r="C28" s="5" t="str">
        <f aca="false">INDEX($C$6:$C$21,MATCH(B28,$B$6:$B$21,0))</f>
        <v>Hose Caliper Front LH</v>
      </c>
      <c r="D28" s="27" t="str">
        <f aca="false">'BOM &amp; COGS Ratio'!B22</f>
        <v>RM-RUBBER-EPDM/NBR</v>
      </c>
      <c r="E28" s="27" t="str">
        <f aca="false">'BOM &amp; COGS Ratio'!C22</f>
        <v>Synthetic Rubber</v>
      </c>
      <c r="F28" s="51" t="n">
        <f aca="false">'BOM &amp; COGS Ratio'!J22</f>
        <v>0.6039</v>
      </c>
      <c r="G28" s="21" t="n">
        <f aca="false">INDEX($G$6:$G$21,MATCH(B28,$B$6:$B$21,0))</f>
        <v>12</v>
      </c>
      <c r="H28" s="55" t="n">
        <f aca="false">'BOM &amp; COGS Ratio'!K22</f>
        <v>7.2468</v>
      </c>
      <c r="I28" s="56" t="n">
        <f aca="false">F28*G28</f>
        <v>7.2468</v>
      </c>
      <c r="J28" s="52" t="n">
        <f aca="false">ROUND(ABS(I28-H28),6)</f>
        <v>0</v>
      </c>
      <c r="K28" s="57" t="n">
        <f aca="false">INDEX('RM &amp; Supplier Cost'!$K$6:$K$13,MATCH(D28,'RM &amp; Supplier Cost'!$B$6:$B$13,0))</f>
        <v>1</v>
      </c>
      <c r="L28" s="56" t="n">
        <f aca="false">H28*K28</f>
        <v>7.2468</v>
      </c>
      <c r="M28" s="56" t="n">
        <f aca="false">L28-H28</f>
        <v>0</v>
      </c>
      <c r="N28" s="50" t="n">
        <f aca="false">IF($H$49=0,0,H28/$H$49)</f>
        <v>0.0258445078459344</v>
      </c>
    </row>
    <row r="29" customFormat="false" ht="15" hidden="false" customHeight="false" outlineLevel="0" collapsed="false">
      <c r="A29" s="13" t="n">
        <v>3</v>
      </c>
      <c r="B29" s="27" t="str">
        <f aca="false">'BOM &amp; COGS Ratio'!D23</f>
        <v>FB-002</v>
      </c>
      <c r="C29" s="5" t="str">
        <f aca="false">INDEX($C$6:$C$21,MATCH(B29,$B$6:$B$21,0))</f>
        <v>Hose Caliper Front RH</v>
      </c>
      <c r="D29" s="27" t="str">
        <f aca="false">'BOM &amp; COGS Ratio'!B23</f>
        <v>RM-SS-TUBE-316L</v>
      </c>
      <c r="E29" s="27" t="str">
        <f aca="false">'BOM &amp; COGS Ratio'!C23</f>
        <v>Stainless Steel</v>
      </c>
      <c r="F29" s="51" t="n">
        <f aca="false">'BOM &amp; COGS Ratio'!J23</f>
        <v>0.3961</v>
      </c>
      <c r="G29" s="21" t="n">
        <f aca="false">INDEX($G$6:$G$21,MATCH(B29,$B$6:$B$21,0))</f>
        <v>12</v>
      </c>
      <c r="H29" s="55" t="n">
        <f aca="false">'BOM &amp; COGS Ratio'!K23</f>
        <v>4.7532</v>
      </c>
      <c r="I29" s="56" t="n">
        <f aca="false">F29*G29</f>
        <v>4.7532</v>
      </c>
      <c r="J29" s="52" t="n">
        <f aca="false">ROUND(ABS(I29-H29),6)</f>
        <v>0</v>
      </c>
      <c r="K29" s="57" t="n">
        <f aca="false">INDEX('RM &amp; Supplier Cost'!$K$6:$K$13,MATCH(D29,'RM &amp; Supplier Cost'!$B$6:$B$13,0))</f>
        <v>1</v>
      </c>
      <c r="L29" s="56" t="n">
        <f aca="false">H29*K29</f>
        <v>4.7532</v>
      </c>
      <c r="M29" s="56" t="n">
        <f aca="false">L29-H29</f>
        <v>0</v>
      </c>
      <c r="N29" s="50" t="n">
        <f aca="false">IF($H$49=0,0,H29/$H$49)</f>
        <v>0.0169514978601997</v>
      </c>
    </row>
    <row r="30" customFormat="false" ht="15" hidden="false" customHeight="false" outlineLevel="0" collapsed="false">
      <c r="A30" s="13" t="n">
        <v>4</v>
      </c>
      <c r="B30" s="27" t="str">
        <f aca="false">'BOM &amp; COGS Ratio'!D26</f>
        <v>FB-002</v>
      </c>
      <c r="C30" s="5" t="str">
        <f aca="false">INDEX($C$6:$C$21,MATCH(B30,$B$6:$B$21,0))</f>
        <v>Hose Caliper Front RH</v>
      </c>
      <c r="D30" s="27" t="str">
        <f aca="false">'BOM &amp; COGS Ratio'!B26</f>
        <v>RM-RUBBER-EPDM/NBR</v>
      </c>
      <c r="E30" s="27" t="str">
        <f aca="false">'BOM &amp; COGS Ratio'!C26</f>
        <v>Synthetic Rubber</v>
      </c>
      <c r="F30" s="51" t="n">
        <f aca="false">'BOM &amp; COGS Ratio'!J26</f>
        <v>0.6039</v>
      </c>
      <c r="G30" s="21" t="n">
        <f aca="false">INDEX($G$6:$G$21,MATCH(B30,$B$6:$B$21,0))</f>
        <v>12</v>
      </c>
      <c r="H30" s="55" t="n">
        <f aca="false">'BOM &amp; COGS Ratio'!K26</f>
        <v>7.2468</v>
      </c>
      <c r="I30" s="56" t="n">
        <f aca="false">F30*G30</f>
        <v>7.2468</v>
      </c>
      <c r="J30" s="52" t="n">
        <f aca="false">ROUND(ABS(I30-H30),6)</f>
        <v>0</v>
      </c>
      <c r="K30" s="57" t="n">
        <f aca="false">INDEX('RM &amp; Supplier Cost'!$K$6:$K$13,MATCH(D30,'RM &amp; Supplier Cost'!$B$6:$B$13,0))</f>
        <v>1</v>
      </c>
      <c r="L30" s="56" t="n">
        <f aca="false">H30*K30</f>
        <v>7.2468</v>
      </c>
      <c r="M30" s="56" t="n">
        <f aca="false">L30-H30</f>
        <v>0</v>
      </c>
      <c r="N30" s="50" t="n">
        <f aca="false">IF($H$49=0,0,H30/$H$49)</f>
        <v>0.0258445078459344</v>
      </c>
    </row>
    <row r="31" customFormat="false" ht="15" hidden="false" customHeight="false" outlineLevel="0" collapsed="false">
      <c r="A31" s="13" t="n">
        <v>5</v>
      </c>
      <c r="B31" s="27" t="str">
        <f aca="false">'BOM &amp; COGS Ratio'!D27</f>
        <v>FB-003</v>
      </c>
      <c r="C31" s="5" t="str">
        <f aca="false">INDEX($C$6:$C$21,MATCH(B31,$B$6:$B$21,0))</f>
        <v>Seal - Brass Hydraulic</v>
      </c>
      <c r="D31" s="27" t="str">
        <f aca="false">'BOM &amp; COGS Ratio'!B27</f>
        <v>RM-BRASS</v>
      </c>
      <c r="E31" s="27" t="str">
        <f aca="false">'BOM &amp; COGS Ratio'!C27</f>
        <v>Brass</v>
      </c>
      <c r="F31" s="51" t="n">
        <f aca="false">'BOM &amp; COGS Ratio'!J27</f>
        <v>0.6431</v>
      </c>
      <c r="G31" s="21" t="n">
        <f aca="false">INDEX($G$6:$G$21,MATCH(B31,$B$6:$B$21,0))</f>
        <v>6</v>
      </c>
      <c r="H31" s="55" t="n">
        <f aca="false">'BOM &amp; COGS Ratio'!K27</f>
        <v>3.8586</v>
      </c>
      <c r="I31" s="56" t="n">
        <f aca="false">F31*G31</f>
        <v>3.8586</v>
      </c>
      <c r="J31" s="52" t="n">
        <f aca="false">ROUND(ABS(I31-H31),6)</f>
        <v>0</v>
      </c>
      <c r="K31" s="57" t="n">
        <f aca="false">INDEX('RM &amp; Supplier Cost'!$K$6:$K$13,MATCH(D31,'RM &amp; Supplier Cost'!$B$6:$B$13,0))</f>
        <v>1</v>
      </c>
      <c r="L31" s="56" t="n">
        <f aca="false">H31*K31</f>
        <v>3.8586</v>
      </c>
      <c r="M31" s="56" t="n">
        <f aca="false">L31-H31</f>
        <v>0</v>
      </c>
      <c r="N31" s="50" t="n">
        <f aca="false">IF($H$49=0,0,H31/$H$49)</f>
        <v>0.0137610556348074</v>
      </c>
    </row>
    <row r="32" customFormat="false" ht="15" hidden="false" customHeight="false" outlineLevel="0" collapsed="false">
      <c r="A32" s="13" t="n">
        <v>6</v>
      </c>
      <c r="B32" s="27" t="str">
        <f aca="false">'BOM &amp; COGS Ratio'!D28</f>
        <v>FB-003</v>
      </c>
      <c r="C32" s="5" t="str">
        <f aca="false">INDEX($C$6:$C$21,MATCH(B32,$B$6:$B$21,0))</f>
        <v>Seal - Brass Hydraulic</v>
      </c>
      <c r="D32" s="27" t="str">
        <f aca="false">'BOM &amp; COGS Ratio'!B28</f>
        <v>RM-RUBBER-EPDM/NBR</v>
      </c>
      <c r="E32" s="27" t="str">
        <f aca="false">'BOM &amp; COGS Ratio'!C28</f>
        <v>Synthetic Rubber</v>
      </c>
      <c r="F32" s="51" t="n">
        <f aca="false">'BOM &amp; COGS Ratio'!J28</f>
        <v>0.3569</v>
      </c>
      <c r="G32" s="21" t="n">
        <f aca="false">INDEX($G$6:$G$21,MATCH(B32,$B$6:$B$21,0))</f>
        <v>6</v>
      </c>
      <c r="H32" s="55" t="n">
        <f aca="false">'BOM &amp; COGS Ratio'!K28</f>
        <v>2.1414</v>
      </c>
      <c r="I32" s="56" t="n">
        <f aca="false">F32*G32</f>
        <v>2.1414</v>
      </c>
      <c r="J32" s="52" t="n">
        <f aca="false">ROUND(ABS(I32-H32),6)</f>
        <v>0</v>
      </c>
      <c r="K32" s="57" t="n">
        <f aca="false">INDEX('RM &amp; Supplier Cost'!$K$6:$K$13,MATCH(D32,'RM &amp; Supplier Cost'!$B$6:$B$13,0))</f>
        <v>1</v>
      </c>
      <c r="L32" s="56" t="n">
        <f aca="false">H32*K32</f>
        <v>2.1414</v>
      </c>
      <c r="M32" s="56" t="n">
        <f aca="false">L32-H32</f>
        <v>0</v>
      </c>
      <c r="N32" s="50" t="n">
        <f aca="false">IF($H$49=0,0,H32/$H$49)</f>
        <v>0.00763694721825963</v>
      </c>
    </row>
    <row r="33" customFormat="false" ht="15" hidden="false" customHeight="false" outlineLevel="0" collapsed="false">
      <c r="A33" s="13" t="n">
        <v>7</v>
      </c>
      <c r="B33" s="27" t="str">
        <f aca="false">'BOM &amp; COGS Ratio'!D29</f>
        <v>FB-004</v>
      </c>
      <c r="C33" s="5" t="str">
        <f aca="false">INDEX($C$6:$C$21,MATCH(B33,$B$6:$B$21,0))</f>
        <v>Retain Clip Hose Frame Attach</v>
      </c>
      <c r="D33" s="27" t="str">
        <f aca="false">'BOM &amp; COGS Ratio'!B29</f>
        <v>RM-STEEL-ALLOY</v>
      </c>
      <c r="E33" s="27" t="str">
        <f aca="false">'BOM &amp; COGS Ratio'!C29</f>
        <v>Steel Alloy</v>
      </c>
      <c r="F33" s="51" t="n">
        <f aca="false">'BOM &amp; COGS Ratio'!J29</f>
        <v>1</v>
      </c>
      <c r="G33" s="21" t="n">
        <f aca="false">INDEX($G$6:$G$21,MATCH(B33,$B$6:$B$21,0))</f>
        <v>1</v>
      </c>
      <c r="H33" s="55" t="n">
        <f aca="false">'BOM &amp; COGS Ratio'!K29</f>
        <v>1</v>
      </c>
      <c r="I33" s="56" t="n">
        <f aca="false">F33*G33</f>
        <v>1</v>
      </c>
      <c r="J33" s="52" t="n">
        <f aca="false">ROUND(ABS(I33-H33),6)</f>
        <v>0</v>
      </c>
      <c r="K33" s="57" t="n">
        <f aca="false">INDEX('RM &amp; Supplier Cost'!$K$6:$K$13,MATCH(D33,'RM &amp; Supplier Cost'!$B$6:$B$13,0))</f>
        <v>1</v>
      </c>
      <c r="L33" s="56" t="n">
        <f aca="false">H33*K33</f>
        <v>1</v>
      </c>
      <c r="M33" s="56" t="n">
        <f aca="false">L33-H33</f>
        <v>0</v>
      </c>
      <c r="N33" s="50" t="n">
        <f aca="false">IF($H$49=0,0,H33/$H$49)</f>
        <v>0.00356633380884451</v>
      </c>
    </row>
    <row r="34" customFormat="false" ht="15" hidden="false" customHeight="false" outlineLevel="0" collapsed="false">
      <c r="A34" s="13" t="n">
        <v>8</v>
      </c>
      <c r="B34" s="27" t="str">
        <f aca="false">'BOM &amp; COGS Ratio'!D31</f>
        <v>FB-005</v>
      </c>
      <c r="C34" s="5" t="str">
        <f aca="false">INDEX($C$6:$C$21,MATCH(B34,$B$6:$B$21,0))</f>
        <v>Stainless Brake Lines</v>
      </c>
      <c r="D34" s="27" t="str">
        <f aca="false">'BOM &amp; COGS Ratio'!B31</f>
        <v>RM-SS-TUBE-316L</v>
      </c>
      <c r="E34" s="27" t="str">
        <f aca="false">'BOM &amp; COGS Ratio'!C31</f>
        <v>Stainless Steel</v>
      </c>
      <c r="F34" s="51" t="n">
        <f aca="false">'BOM &amp; COGS Ratio'!J31</f>
        <v>1</v>
      </c>
      <c r="G34" s="21" t="n">
        <f aca="false">INDEX($G$6:$G$21,MATCH(B34,$B$6:$B$21,0))</f>
        <v>16</v>
      </c>
      <c r="H34" s="55" t="n">
        <f aca="false">'BOM &amp; COGS Ratio'!K31</f>
        <v>16</v>
      </c>
      <c r="I34" s="56" t="n">
        <f aca="false">F34*G34</f>
        <v>16</v>
      </c>
      <c r="J34" s="52" t="n">
        <f aca="false">ROUND(ABS(I34-H34),6)</f>
        <v>0</v>
      </c>
      <c r="K34" s="57" t="n">
        <f aca="false">INDEX('RM &amp; Supplier Cost'!$K$6:$K$13,MATCH(D34,'RM &amp; Supplier Cost'!$B$6:$B$13,0))</f>
        <v>1</v>
      </c>
      <c r="L34" s="56" t="n">
        <f aca="false">H34*K34</f>
        <v>16</v>
      </c>
      <c r="M34" s="56" t="n">
        <f aca="false">L34-H34</f>
        <v>0</v>
      </c>
      <c r="N34" s="50" t="n">
        <f aca="false">IF($H$49=0,0,H34/$H$49)</f>
        <v>0.0570613409415121</v>
      </c>
    </row>
    <row r="35" customFormat="false" ht="15" hidden="false" customHeight="false" outlineLevel="0" collapsed="false">
      <c r="A35" s="13" t="n">
        <v>9</v>
      </c>
      <c r="B35" s="27" t="str">
        <f aca="false">'BOM &amp; COGS Ratio'!D34</f>
        <v>FB-006</v>
      </c>
      <c r="C35" s="5" t="str">
        <f aca="false">INDEX($C$6:$C$21,MATCH(B35,$B$6:$B$21,0))</f>
        <v>Caliper Disc Front LH</v>
      </c>
      <c r="D35" s="27" t="str">
        <f aca="false">'BOM &amp; COGS Ratio'!B34</f>
        <v>RM-STEEL-ALLOY</v>
      </c>
      <c r="E35" s="27" t="str">
        <f aca="false">'BOM &amp; COGS Ratio'!C34</f>
        <v>Steel Alloy</v>
      </c>
      <c r="F35" s="51" t="n">
        <f aca="false">'BOM &amp; COGS Ratio'!J34</f>
        <v>1</v>
      </c>
      <c r="G35" s="21" t="n">
        <f aca="false">INDEX($G$6:$G$21,MATCH(B35,$B$6:$B$21,0))</f>
        <v>50</v>
      </c>
      <c r="H35" s="55" t="n">
        <f aca="false">'BOM &amp; COGS Ratio'!K34</f>
        <v>50</v>
      </c>
      <c r="I35" s="56" t="n">
        <f aca="false">F35*G35</f>
        <v>50</v>
      </c>
      <c r="J35" s="52" t="n">
        <f aca="false">ROUND(ABS(I35-H35),6)</f>
        <v>0</v>
      </c>
      <c r="K35" s="57" t="n">
        <f aca="false">INDEX('RM &amp; Supplier Cost'!$K$6:$K$13,MATCH(D35,'RM &amp; Supplier Cost'!$B$6:$B$13,0))</f>
        <v>1</v>
      </c>
      <c r="L35" s="56" t="n">
        <f aca="false">H35*K35</f>
        <v>50</v>
      </c>
      <c r="M35" s="56" t="n">
        <f aca="false">L35-H35</f>
        <v>0</v>
      </c>
      <c r="N35" s="50" t="n">
        <f aca="false">IF($H$49=0,0,H35/$H$49)</f>
        <v>0.178316690442225</v>
      </c>
    </row>
    <row r="36" customFormat="false" ht="15" hidden="false" customHeight="false" outlineLevel="0" collapsed="false">
      <c r="A36" s="13" t="n">
        <v>10</v>
      </c>
      <c r="B36" s="27" t="str">
        <f aca="false">'BOM &amp; COGS Ratio'!D36</f>
        <v>FB-007</v>
      </c>
      <c r="C36" s="5" t="str">
        <f aca="false">INDEX($C$6:$C$21,MATCH(B36,$B$6:$B$21,0))</f>
        <v>Caliper Disc Front RH</v>
      </c>
      <c r="D36" s="27" t="str">
        <f aca="false">'BOM &amp; COGS Ratio'!B36</f>
        <v>RM-STEEL-ALLOY</v>
      </c>
      <c r="E36" s="27" t="str">
        <f aca="false">'BOM &amp; COGS Ratio'!C36</f>
        <v>Steel Alloy</v>
      </c>
      <c r="F36" s="51" t="n">
        <f aca="false">'BOM &amp; COGS Ratio'!J36</f>
        <v>1</v>
      </c>
      <c r="G36" s="21" t="n">
        <f aca="false">INDEX($G$6:$G$21,MATCH(B36,$B$6:$B$21,0))</f>
        <v>50</v>
      </c>
      <c r="H36" s="55" t="n">
        <f aca="false">'BOM &amp; COGS Ratio'!K36</f>
        <v>50</v>
      </c>
      <c r="I36" s="56" t="n">
        <f aca="false">F36*G36</f>
        <v>50</v>
      </c>
      <c r="J36" s="52" t="n">
        <f aca="false">ROUND(ABS(I36-H36),6)</f>
        <v>0</v>
      </c>
      <c r="K36" s="57" t="n">
        <f aca="false">INDEX('RM &amp; Supplier Cost'!$K$6:$K$13,MATCH(D36,'RM &amp; Supplier Cost'!$B$6:$B$13,0))</f>
        <v>1</v>
      </c>
      <c r="L36" s="56" t="n">
        <f aca="false">H36*K36</f>
        <v>50</v>
      </c>
      <c r="M36" s="56" t="n">
        <f aca="false">L36-H36</f>
        <v>0</v>
      </c>
      <c r="N36" s="50" t="n">
        <f aca="false">IF($H$49=0,0,H36/$H$49)</f>
        <v>0.178316690442225</v>
      </c>
    </row>
    <row r="37" customFormat="false" ht="15" hidden="false" customHeight="false" outlineLevel="0" collapsed="false">
      <c r="A37" s="13" t="n">
        <v>11</v>
      </c>
      <c r="B37" s="27" t="str">
        <f aca="false">'BOM &amp; COGS Ratio'!D38</f>
        <v>FB-008</v>
      </c>
      <c r="C37" s="5" t="str">
        <f aca="false">INDEX($C$6:$C$21,MATCH(B37,$B$6:$B$21,0))</f>
        <v>Rotor Disc Brake</v>
      </c>
      <c r="D37" s="27" t="str">
        <f aca="false">'BOM &amp; COGS Ratio'!B38</f>
        <v>RM-STEEL-ALLOY</v>
      </c>
      <c r="E37" s="27" t="str">
        <f aca="false">'BOM &amp; COGS Ratio'!C38</f>
        <v>Steel Alloy</v>
      </c>
      <c r="F37" s="51" t="n">
        <f aca="false">'BOM &amp; COGS Ratio'!J38</f>
        <v>1</v>
      </c>
      <c r="G37" s="21" t="n">
        <f aca="false">INDEX($G$6:$G$21,MATCH(B37,$B$6:$B$21,0))</f>
        <v>50</v>
      </c>
      <c r="H37" s="55" t="n">
        <f aca="false">'BOM &amp; COGS Ratio'!K38</f>
        <v>50</v>
      </c>
      <c r="I37" s="56" t="n">
        <f aca="false">F37*G37</f>
        <v>50</v>
      </c>
      <c r="J37" s="52" t="n">
        <f aca="false">ROUND(ABS(I37-H37),6)</f>
        <v>0</v>
      </c>
      <c r="K37" s="57" t="n">
        <f aca="false">INDEX('RM &amp; Supplier Cost'!$K$6:$K$13,MATCH(D37,'RM &amp; Supplier Cost'!$B$6:$B$13,0))</f>
        <v>1</v>
      </c>
      <c r="L37" s="56" t="n">
        <f aca="false">H37*K37</f>
        <v>50</v>
      </c>
      <c r="M37" s="56" t="n">
        <f aca="false">L37-H37</f>
        <v>0</v>
      </c>
      <c r="N37" s="50" t="n">
        <f aca="false">IF($H$49=0,0,H37/$H$49)</f>
        <v>0.178316690442225</v>
      </c>
    </row>
    <row r="38" customFormat="false" ht="15" hidden="false" customHeight="false" outlineLevel="0" collapsed="false">
      <c r="A38" s="13" t="n">
        <v>12</v>
      </c>
      <c r="B38" s="27" t="str">
        <f aca="false">'BOM &amp; COGS Ratio'!D40</f>
        <v>FB-009</v>
      </c>
      <c r="C38" s="5" t="str">
        <f aca="false">INDEX($C$6:$C$21,MATCH(B38,$B$6:$B$21,0))</f>
        <v>Bearing Inner Wheel</v>
      </c>
      <c r="D38" s="27" t="str">
        <f aca="false">'BOM &amp; COGS Ratio'!B40</f>
        <v>RM-BEARING-STEEL</v>
      </c>
      <c r="E38" s="27" t="str">
        <f aca="false">'BOM &amp; COGS Ratio'!C40</f>
        <v>Bearing Steel</v>
      </c>
      <c r="F38" s="51" t="n">
        <f aca="false">'BOM &amp; COGS Ratio'!J40</f>
        <v>1</v>
      </c>
      <c r="G38" s="21" t="n">
        <f aca="false">INDEX($G$6:$G$21,MATCH(B38,$B$6:$B$21,0))</f>
        <v>20</v>
      </c>
      <c r="H38" s="55" t="n">
        <f aca="false">'BOM &amp; COGS Ratio'!K40</f>
        <v>20</v>
      </c>
      <c r="I38" s="56" t="n">
        <f aca="false">F38*G38</f>
        <v>20</v>
      </c>
      <c r="J38" s="52" t="n">
        <f aca="false">ROUND(ABS(I38-H38),6)</f>
        <v>0</v>
      </c>
      <c r="K38" s="57" t="n">
        <f aca="false">INDEX('RM &amp; Supplier Cost'!$K$6:$K$13,MATCH(D38,'RM &amp; Supplier Cost'!$B$6:$B$13,0))</f>
        <v>1</v>
      </c>
      <c r="L38" s="56" t="n">
        <f aca="false">H38*K38</f>
        <v>20</v>
      </c>
      <c r="M38" s="56" t="n">
        <f aca="false">L38-H38</f>
        <v>0</v>
      </c>
      <c r="N38" s="50" t="n">
        <f aca="false">IF($H$49=0,0,H38/$H$49)</f>
        <v>0.0713266761768902</v>
      </c>
    </row>
    <row r="39" customFormat="false" ht="15" hidden="false" customHeight="false" outlineLevel="0" collapsed="false">
      <c r="A39" s="13" t="n">
        <v>13</v>
      </c>
      <c r="B39" s="27" t="str">
        <f aca="false">'BOM &amp; COGS Ratio'!D41</f>
        <v>FB-010</v>
      </c>
      <c r="C39" s="5" t="str">
        <f aca="false">INDEX($C$6:$C$21,MATCH(B39,$B$6:$B$21,0))</f>
        <v>Bearing Outer Wheel</v>
      </c>
      <c r="D39" s="27" t="str">
        <f aca="false">'BOM &amp; COGS Ratio'!B41</f>
        <v>RM-BEARING-STEEL</v>
      </c>
      <c r="E39" s="27" t="str">
        <f aca="false">'BOM &amp; COGS Ratio'!C41</f>
        <v>Bearing Steel</v>
      </c>
      <c r="F39" s="51" t="n">
        <f aca="false">'BOM &amp; COGS Ratio'!J41</f>
        <v>1</v>
      </c>
      <c r="G39" s="21" t="n">
        <f aca="false">INDEX($G$6:$G$21,MATCH(B39,$B$6:$B$21,0))</f>
        <v>20</v>
      </c>
      <c r="H39" s="55" t="n">
        <f aca="false">'BOM &amp; COGS Ratio'!K41</f>
        <v>20</v>
      </c>
      <c r="I39" s="56" t="n">
        <f aca="false">F39*G39</f>
        <v>20</v>
      </c>
      <c r="J39" s="52" t="n">
        <f aca="false">ROUND(ABS(I39-H39),6)</f>
        <v>0</v>
      </c>
      <c r="K39" s="57" t="n">
        <f aca="false">INDEX('RM &amp; Supplier Cost'!$K$6:$K$13,MATCH(D39,'RM &amp; Supplier Cost'!$B$6:$B$13,0))</f>
        <v>1</v>
      </c>
      <c r="L39" s="56" t="n">
        <f aca="false">H39*K39</f>
        <v>20</v>
      </c>
      <c r="M39" s="56" t="n">
        <f aca="false">L39-H39</f>
        <v>0</v>
      </c>
      <c r="N39" s="50" t="n">
        <f aca="false">IF($H$49=0,0,H39/$H$49)</f>
        <v>0.0713266761768902</v>
      </c>
    </row>
    <row r="40" customFormat="false" ht="15" hidden="false" customHeight="false" outlineLevel="0" collapsed="false">
      <c r="A40" s="13" t="n">
        <v>14</v>
      </c>
      <c r="B40" s="27" t="str">
        <f aca="false">'BOM &amp; COGS Ratio'!D42</f>
        <v>FB-011</v>
      </c>
      <c r="C40" s="5" t="str">
        <f aca="false">INDEX($C$6:$C$21,MATCH(B40,$B$6:$B$21,0))</f>
        <v>Washer Retainer Outer Bearing</v>
      </c>
      <c r="D40" s="27" t="str">
        <f aca="false">'BOM &amp; COGS Ratio'!B42</f>
        <v>RM-STEEL-ALLOY</v>
      </c>
      <c r="E40" s="27" t="str">
        <f aca="false">'BOM &amp; COGS Ratio'!C42</f>
        <v>Steel Alloy</v>
      </c>
      <c r="F40" s="51" t="n">
        <f aca="false">'BOM &amp; COGS Ratio'!J42</f>
        <v>1</v>
      </c>
      <c r="G40" s="21" t="n">
        <f aca="false">INDEX($G$6:$G$21,MATCH(B40,$B$6:$B$21,0))</f>
        <v>1</v>
      </c>
      <c r="H40" s="55" t="n">
        <f aca="false">'BOM &amp; COGS Ratio'!K42</f>
        <v>1</v>
      </c>
      <c r="I40" s="56" t="n">
        <f aca="false">F40*G40</f>
        <v>1</v>
      </c>
      <c r="J40" s="52" t="n">
        <f aca="false">ROUND(ABS(I40-H40),6)</f>
        <v>0</v>
      </c>
      <c r="K40" s="57" t="n">
        <f aca="false">INDEX('RM &amp; Supplier Cost'!$K$6:$K$13,MATCH(D40,'RM &amp; Supplier Cost'!$B$6:$B$13,0))</f>
        <v>1</v>
      </c>
      <c r="L40" s="56" t="n">
        <f aca="false">H40*K40</f>
        <v>1</v>
      </c>
      <c r="M40" s="56" t="n">
        <f aca="false">L40-H40</f>
        <v>0</v>
      </c>
      <c r="N40" s="50" t="n">
        <f aca="false">IF($H$49=0,0,H40/$H$49)</f>
        <v>0.00356633380884451</v>
      </c>
    </row>
    <row r="41" customFormat="false" ht="15" hidden="false" customHeight="false" outlineLevel="0" collapsed="false">
      <c r="A41" s="13" t="n">
        <v>15</v>
      </c>
      <c r="B41" s="27" t="str">
        <f aca="false">'BOM &amp; COGS Ratio'!D44</f>
        <v>FB-012</v>
      </c>
      <c r="C41" s="5" t="str">
        <f aca="false">INDEX($C$6:$C$21,MATCH(B41,$B$6:$B$21,0))</f>
        <v>Cotter Key</v>
      </c>
      <c r="D41" s="27" t="str">
        <f aca="false">'BOM &amp; COGS Ratio'!B44</f>
        <v>RM-STEEL-ALLOY</v>
      </c>
      <c r="E41" s="27" t="str">
        <f aca="false">'BOM &amp; COGS Ratio'!C44</f>
        <v>Steel Alloy</v>
      </c>
      <c r="F41" s="51" t="n">
        <f aca="false">'BOM &amp; COGS Ratio'!J44</f>
        <v>1</v>
      </c>
      <c r="G41" s="21" t="n">
        <f aca="false">INDEX($G$6:$G$21,MATCH(B41,$B$6:$B$21,0))</f>
        <v>0.4</v>
      </c>
      <c r="H41" s="55" t="n">
        <f aca="false">'BOM &amp; COGS Ratio'!K44</f>
        <v>0.4</v>
      </c>
      <c r="I41" s="56" t="n">
        <f aca="false">F41*G41</f>
        <v>0.4</v>
      </c>
      <c r="J41" s="52" t="n">
        <f aca="false">ROUND(ABS(I41-H41),6)</f>
        <v>0</v>
      </c>
      <c r="K41" s="57" t="n">
        <f aca="false">INDEX('RM &amp; Supplier Cost'!$K$6:$K$13,MATCH(D41,'RM &amp; Supplier Cost'!$B$6:$B$13,0))</f>
        <v>1</v>
      </c>
      <c r="L41" s="56" t="n">
        <f aca="false">H41*K41</f>
        <v>0.4</v>
      </c>
      <c r="M41" s="56" t="n">
        <f aca="false">L41-H41</f>
        <v>0</v>
      </c>
      <c r="N41" s="50" t="n">
        <f aca="false">IF($H$49=0,0,H41/$H$49)</f>
        <v>0.0014265335235378</v>
      </c>
    </row>
    <row r="42" customFormat="false" ht="15" hidden="false" customHeight="false" outlineLevel="0" collapsed="false">
      <c r="A42" s="13" t="n">
        <v>16</v>
      </c>
      <c r="B42" s="27" t="str">
        <f aca="false">'BOM &amp; COGS Ratio'!D46</f>
        <v>FB-013</v>
      </c>
      <c r="C42" s="5" t="str">
        <f aca="false">INDEX($C$6:$C$21,MATCH(B42,$B$6:$B$21,0))</f>
        <v>Seal Grease</v>
      </c>
      <c r="D42" s="27" t="str">
        <f aca="false">'BOM &amp; COGS Ratio'!B46</f>
        <v>RM-GREASE</v>
      </c>
      <c r="E42" s="27" t="str">
        <f aca="false">'BOM &amp; COGS Ratio'!C46</f>
        <v>High Temp Grease</v>
      </c>
      <c r="F42" s="51" t="n">
        <f aca="false">'BOM &amp; COGS Ratio'!J46</f>
        <v>0.6954</v>
      </c>
      <c r="G42" s="21" t="n">
        <f aca="false">INDEX($G$6:$G$21,MATCH(B42,$B$6:$B$21,0))</f>
        <v>4</v>
      </c>
      <c r="H42" s="55" t="n">
        <f aca="false">'BOM &amp; COGS Ratio'!K46</f>
        <v>2.7816</v>
      </c>
      <c r="I42" s="56" t="n">
        <f aca="false">F42*G42</f>
        <v>2.7816</v>
      </c>
      <c r="J42" s="52" t="n">
        <f aca="false">ROUND(ABS(I42-H42),6)</f>
        <v>0</v>
      </c>
      <c r="K42" s="57" t="n">
        <f aca="false">INDEX('RM &amp; Supplier Cost'!$K$6:$K$13,MATCH(D42,'RM &amp; Supplier Cost'!$B$6:$B$13,0))</f>
        <v>1</v>
      </c>
      <c r="L42" s="56" t="n">
        <f aca="false">H42*K42</f>
        <v>2.7816</v>
      </c>
      <c r="M42" s="56" t="n">
        <f aca="false">L42-H42</f>
        <v>0</v>
      </c>
      <c r="N42" s="50" t="n">
        <f aca="false">IF($H$49=0,0,H42/$H$49)</f>
        <v>0.00992011412268188</v>
      </c>
    </row>
    <row r="43" customFormat="false" ht="15" hidden="false" customHeight="false" outlineLevel="0" collapsed="false">
      <c r="A43" s="13" t="n">
        <v>17</v>
      </c>
      <c r="B43" s="27" t="str">
        <f aca="false">'BOM &amp; COGS Ratio'!D47</f>
        <v>FB-013</v>
      </c>
      <c r="C43" s="5" t="str">
        <f aca="false">INDEX($C$6:$C$21,MATCH(B43,$B$6:$B$21,0))</f>
        <v>Seal Grease</v>
      </c>
      <c r="D43" s="27" t="str">
        <f aca="false">'BOM &amp; COGS Ratio'!B47</f>
        <v>RM-RUBBER-EPDM/NBR</v>
      </c>
      <c r="E43" s="27" t="str">
        <f aca="false">'BOM &amp; COGS Ratio'!C47</f>
        <v>Synthetic Rubber</v>
      </c>
      <c r="F43" s="51" t="n">
        <f aca="false">'BOM &amp; COGS Ratio'!J47</f>
        <v>0.3046</v>
      </c>
      <c r="G43" s="21" t="n">
        <f aca="false">INDEX($G$6:$G$21,MATCH(B43,$B$6:$B$21,0))</f>
        <v>4</v>
      </c>
      <c r="H43" s="55" t="n">
        <f aca="false">'BOM &amp; COGS Ratio'!K47</f>
        <v>1.2184</v>
      </c>
      <c r="I43" s="56" t="n">
        <f aca="false">F43*G43</f>
        <v>1.2184</v>
      </c>
      <c r="J43" s="52" t="n">
        <f aca="false">ROUND(ABS(I43-H43),6)</f>
        <v>0</v>
      </c>
      <c r="K43" s="57" t="n">
        <f aca="false">INDEX('RM &amp; Supplier Cost'!$K$6:$K$13,MATCH(D43,'RM &amp; Supplier Cost'!$B$6:$B$13,0))</f>
        <v>1</v>
      </c>
      <c r="L43" s="56" t="n">
        <f aca="false">H43*K43</f>
        <v>1.2184</v>
      </c>
      <c r="M43" s="56" t="n">
        <f aca="false">L43-H43</f>
        <v>0</v>
      </c>
      <c r="N43" s="50" t="n">
        <f aca="false">IF($H$49=0,0,H43/$H$49)</f>
        <v>0.00434522111269615</v>
      </c>
    </row>
    <row r="44" customFormat="false" ht="15" hidden="false" customHeight="false" outlineLevel="0" collapsed="false">
      <c r="A44" s="13" t="n">
        <v>18</v>
      </c>
      <c r="B44" s="27" t="str">
        <f aca="false">'BOM &amp; COGS Ratio'!D48</f>
        <v>FB-014</v>
      </c>
      <c r="C44" s="5" t="str">
        <f aca="false">INDEX($C$6:$C$21,MATCH(B44,$B$6:$B$21,0))</f>
        <v>Cap Dust</v>
      </c>
      <c r="D44" s="27" t="str">
        <f aca="false">'BOM &amp; COGS Ratio'!B48</f>
        <v>RM-PLASTIC-POM</v>
      </c>
      <c r="E44" s="27" t="str">
        <f aca="false">'BOM &amp; COGS Ratio'!C48</f>
        <v>Engineering Plastic</v>
      </c>
      <c r="F44" s="51" t="n">
        <f aca="false">'BOM &amp; COGS Ratio'!J48</f>
        <v>0.5941</v>
      </c>
      <c r="G44" s="21" t="n">
        <f aca="false">INDEX($G$6:$G$21,MATCH(B44,$B$6:$B$21,0))</f>
        <v>2</v>
      </c>
      <c r="H44" s="55" t="n">
        <f aca="false">'BOM &amp; COGS Ratio'!K48</f>
        <v>1.1882</v>
      </c>
      <c r="I44" s="56" t="n">
        <f aca="false">F44*G44</f>
        <v>1.1882</v>
      </c>
      <c r="J44" s="52" t="n">
        <f aca="false">ROUND(ABS(I44-H44),6)</f>
        <v>0</v>
      </c>
      <c r="K44" s="57" t="n">
        <f aca="false">INDEX('RM &amp; Supplier Cost'!$K$6:$K$13,MATCH(D44,'RM &amp; Supplier Cost'!$B$6:$B$13,0))</f>
        <v>1</v>
      </c>
      <c r="L44" s="56" t="n">
        <f aca="false">H44*K44</f>
        <v>1.1882</v>
      </c>
      <c r="M44" s="56" t="n">
        <f aca="false">L44-H44</f>
        <v>0</v>
      </c>
      <c r="N44" s="50" t="n">
        <f aca="false">IF($H$49=0,0,H44/$H$49)</f>
        <v>0.00423751783166904</v>
      </c>
    </row>
    <row r="45" customFormat="false" ht="15" hidden="false" customHeight="false" outlineLevel="0" collapsed="false">
      <c r="A45" s="13" t="n">
        <v>19</v>
      </c>
      <c r="B45" s="27" t="str">
        <f aca="false">'BOM &amp; COGS Ratio'!D49</f>
        <v>FB-014</v>
      </c>
      <c r="C45" s="5" t="str">
        <f aca="false">INDEX($C$6:$C$21,MATCH(B45,$B$6:$B$21,0))</f>
        <v>Cap Dust</v>
      </c>
      <c r="D45" s="27" t="str">
        <f aca="false">'BOM &amp; COGS Ratio'!B49</f>
        <v>RM-RUBBER-EPDM/NBR</v>
      </c>
      <c r="E45" s="27" t="str">
        <f aca="false">'BOM &amp; COGS Ratio'!C49</f>
        <v>Synthetic Rubber</v>
      </c>
      <c r="F45" s="51" t="n">
        <f aca="false">'BOM &amp; COGS Ratio'!J49</f>
        <v>0.4059</v>
      </c>
      <c r="G45" s="21" t="n">
        <f aca="false">INDEX($G$6:$G$21,MATCH(B45,$B$6:$B$21,0))</f>
        <v>2</v>
      </c>
      <c r="H45" s="55" t="n">
        <f aca="false">'BOM &amp; COGS Ratio'!K49</f>
        <v>0.8118</v>
      </c>
      <c r="I45" s="56" t="n">
        <f aca="false">F45*G45</f>
        <v>0.8118</v>
      </c>
      <c r="J45" s="52" t="n">
        <f aca="false">ROUND(ABS(I45-H45),6)</f>
        <v>0</v>
      </c>
      <c r="K45" s="57" t="n">
        <f aca="false">INDEX('RM &amp; Supplier Cost'!$K$6:$K$13,MATCH(D45,'RM &amp; Supplier Cost'!$B$6:$B$13,0))</f>
        <v>1</v>
      </c>
      <c r="L45" s="56" t="n">
        <f aca="false">H45*K45</f>
        <v>0.8118</v>
      </c>
      <c r="M45" s="56" t="n">
        <f aca="false">L45-H45</f>
        <v>0</v>
      </c>
      <c r="N45" s="50" t="n">
        <f aca="false">IF($H$49=0,0,H45/$H$49)</f>
        <v>0.00289514978601997</v>
      </c>
    </row>
    <row r="46" customFormat="false" ht="15" hidden="false" customHeight="false" outlineLevel="0" collapsed="false">
      <c r="A46" s="13" t="n">
        <v>20</v>
      </c>
      <c r="B46" s="27" t="str">
        <f aca="false">'BOM &amp; COGS Ratio'!D50</f>
        <v>FB-015</v>
      </c>
      <c r="C46" s="5" t="str">
        <f aca="false">INDEX($C$6:$C$21,MATCH(B46,$B$6:$B$21,0))</f>
        <v>Pads - Disc Kit</v>
      </c>
      <c r="D46" s="27" t="str">
        <f aca="false">'BOM &amp; COGS Ratio'!B50</f>
        <v>RM-FRICTION-MAT</v>
      </c>
      <c r="E46" s="27" t="str">
        <f aca="false">'BOM &amp; COGS Ratio'!C50</f>
        <v>Friction Material</v>
      </c>
      <c r="F46" s="51" t="n">
        <f aca="false">'BOM &amp; COGS Ratio'!J50</f>
        <v>0.6982</v>
      </c>
      <c r="G46" s="21" t="n">
        <f aca="false">INDEX($G$6:$G$21,MATCH(B46,$B$6:$B$21,0))</f>
        <v>30</v>
      </c>
      <c r="H46" s="55" t="n">
        <f aca="false">'BOM &amp; COGS Ratio'!K50</f>
        <v>20.946</v>
      </c>
      <c r="I46" s="56" t="n">
        <f aca="false">F46*G46</f>
        <v>20.946</v>
      </c>
      <c r="J46" s="52" t="n">
        <f aca="false">ROUND(ABS(I46-H46),6)</f>
        <v>0</v>
      </c>
      <c r="K46" s="57" t="n">
        <f aca="false">INDEX('RM &amp; Supplier Cost'!$K$6:$K$13,MATCH(D46,'RM &amp; Supplier Cost'!$B$6:$B$13,0))</f>
        <v>1</v>
      </c>
      <c r="L46" s="56" t="n">
        <f aca="false">H46*K46</f>
        <v>20.946</v>
      </c>
      <c r="M46" s="56" t="n">
        <f aca="false">L46-H46</f>
        <v>0</v>
      </c>
      <c r="N46" s="50" t="n">
        <f aca="false">IF($H$49=0,0,H46/$H$49)</f>
        <v>0.0747004279600571</v>
      </c>
    </row>
    <row r="47" customFormat="false" ht="15" hidden="false" customHeight="false" outlineLevel="0" collapsed="false">
      <c r="A47" s="13" t="n">
        <v>21</v>
      </c>
      <c r="B47" s="27" t="str">
        <f aca="false">'BOM &amp; COGS Ratio'!D51</f>
        <v>FB-015</v>
      </c>
      <c r="C47" s="5" t="str">
        <f aca="false">INDEX($C$6:$C$21,MATCH(B47,$B$6:$B$21,0))</f>
        <v>Pads - Disc Kit</v>
      </c>
      <c r="D47" s="27" t="str">
        <f aca="false">'BOM &amp; COGS Ratio'!B51</f>
        <v>RM-STEEL-ALLOY</v>
      </c>
      <c r="E47" s="27" t="str">
        <f aca="false">'BOM &amp; COGS Ratio'!C51</f>
        <v>Steel Alloy</v>
      </c>
      <c r="F47" s="51" t="n">
        <f aca="false">'BOM &amp; COGS Ratio'!J51</f>
        <v>0.3018</v>
      </c>
      <c r="G47" s="21" t="n">
        <f aca="false">INDEX($G$6:$G$21,MATCH(B47,$B$6:$B$21,0))</f>
        <v>30</v>
      </c>
      <c r="H47" s="55" t="n">
        <f aca="false">'BOM &amp; COGS Ratio'!K51</f>
        <v>9.054</v>
      </c>
      <c r="I47" s="56" t="n">
        <f aca="false">F47*G47</f>
        <v>9.054</v>
      </c>
      <c r="J47" s="52" t="n">
        <f aca="false">ROUND(ABS(I47-H47),6)</f>
        <v>0</v>
      </c>
      <c r="K47" s="57" t="n">
        <f aca="false">INDEX('RM &amp; Supplier Cost'!$K$6:$K$13,MATCH(D47,'RM &amp; Supplier Cost'!$B$6:$B$13,0))</f>
        <v>1</v>
      </c>
      <c r="L47" s="56" t="n">
        <f aca="false">H47*K47</f>
        <v>9.054</v>
      </c>
      <c r="M47" s="56" t="n">
        <f aca="false">L47-H47</f>
        <v>0</v>
      </c>
      <c r="N47" s="50" t="n">
        <f aca="false">IF($H$49=0,0,H47/$H$49)</f>
        <v>0.0322895863052782</v>
      </c>
    </row>
    <row r="48" customFormat="false" ht="15" hidden="false" customHeight="false" outlineLevel="0" collapsed="false">
      <c r="A48" s="13" t="n">
        <v>22</v>
      </c>
      <c r="B48" s="27" t="str">
        <f aca="false">'BOM &amp; COGS Ratio'!D53</f>
        <v>FB-016</v>
      </c>
      <c r="C48" s="5" t="str">
        <f aca="false">INDEX($C$6:$C$21,MATCH(B48,$B$6:$B$21,0))</f>
        <v>Tube Hyd Front Distribution</v>
      </c>
      <c r="D48" s="27" t="str">
        <f aca="false">'BOM &amp; COGS Ratio'!B53</f>
        <v>RM-SS-TUBE-316L</v>
      </c>
      <c r="E48" s="27" t="str">
        <f aca="false">'BOM &amp; COGS Ratio'!C53</f>
        <v>Stainless Steel</v>
      </c>
      <c r="F48" s="51" t="n">
        <f aca="false">'BOM &amp; COGS Ratio'!J53</f>
        <v>1</v>
      </c>
      <c r="G48" s="21" t="n">
        <f aca="false">INDEX($G$6:$G$21,MATCH(B48,$B$6:$B$21,0))</f>
        <v>6</v>
      </c>
      <c r="H48" s="55" t="n">
        <f aca="false">'BOM &amp; COGS Ratio'!K53</f>
        <v>6</v>
      </c>
      <c r="I48" s="56" t="n">
        <f aca="false">F48*G48</f>
        <v>6</v>
      </c>
      <c r="J48" s="52" t="n">
        <f aca="false">ROUND(ABS(I48-H48),6)</f>
        <v>0</v>
      </c>
      <c r="K48" s="57" t="n">
        <f aca="false">INDEX('RM &amp; Supplier Cost'!$K$6:$K$13,MATCH(D48,'RM &amp; Supplier Cost'!$B$6:$B$13,0))</f>
        <v>1</v>
      </c>
      <c r="L48" s="56" t="n">
        <f aca="false">H48*K48</f>
        <v>6</v>
      </c>
      <c r="M48" s="56" t="n">
        <f aca="false">L48-H48</f>
        <v>0</v>
      </c>
      <c r="N48" s="50" t="n">
        <f aca="false">IF($H$49=0,0,H48/$H$49)</f>
        <v>0.0213980028530671</v>
      </c>
    </row>
    <row r="49" customFormat="false" ht="15" hidden="false" customHeight="false" outlineLevel="0" collapsed="false">
      <c r="A49" s="32"/>
      <c r="B49" s="33" t="s">
        <v>157</v>
      </c>
      <c r="C49" s="32"/>
      <c r="D49" s="32"/>
      <c r="E49" s="32"/>
      <c r="F49" s="32"/>
      <c r="G49" s="32"/>
      <c r="H49" s="58" t="n">
        <f aca="false">SUM(H27:H48)</f>
        <v>280.4</v>
      </c>
      <c r="I49" s="58" t="n">
        <f aca="false">SUM(I27:I48)</f>
        <v>280.4</v>
      </c>
      <c r="J49" s="54" t="n">
        <f aca="false">MAX(J27:J48)</f>
        <v>0</v>
      </c>
      <c r="K49" s="32"/>
      <c r="L49" s="58" t="n">
        <f aca="false">SUM(L27:L48)</f>
        <v>280.4</v>
      </c>
      <c r="M49" s="58" t="n">
        <f aca="false">SUM(M27:M48)</f>
        <v>0</v>
      </c>
      <c r="N49" s="53" t="n">
        <f aca="false">SUM(N27:N48)</f>
        <v>1</v>
      </c>
      <c r="O49" s="32"/>
      <c r="P49" s="32"/>
      <c r="Q49" s="32"/>
    </row>
    <row r="50" customFormat="false" ht="15" hidden="false" customHeight="false" outlineLevel="0" collapsed="false">
      <c r="B50" s="3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P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4" min="3" style="0" width="20"/>
    <col collapsed="false" customWidth="true" hidden="false" outlineLevel="0" max="5" min="5" style="0" width="18"/>
    <col collapsed="false" customWidth="true" hidden="false" outlineLevel="0" max="6" min="6" style="0" width="11"/>
    <col collapsed="false" customWidth="true" hidden="false" outlineLevel="0" max="10" min="7" style="0" width="13"/>
    <col collapsed="false" customWidth="true" hidden="false" outlineLevel="0" max="12" min="11" style="0" width="14"/>
    <col collapsed="false" customWidth="true" hidden="false" outlineLevel="0" max="13" min="13" style="0" width="12"/>
    <col collapsed="false" customWidth="true" hidden="false" outlineLevel="0" max="16" min="14" style="0" width="13"/>
  </cols>
  <sheetData>
    <row r="1" customFormat="false" ht="17.35" hidden="false" customHeight="false" outlineLevel="0" collapsed="false">
      <c r="A1" s="16" t="s">
        <v>170</v>
      </c>
    </row>
    <row r="2" customFormat="false" ht="15" hidden="false" customHeight="false" outlineLevel="0" collapsed="false">
      <c r="A2" s="3" t="s">
        <v>171</v>
      </c>
    </row>
    <row r="4" customFormat="false" ht="15" hidden="false" customHeight="false" outlineLevel="0" collapsed="false">
      <c r="A4" s="4" t="s">
        <v>172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42" hidden="false" customHeight="true" outlineLevel="0" collapsed="false">
      <c r="A5" s="18" t="s">
        <v>52</v>
      </c>
      <c r="B5" s="18" t="s">
        <v>63</v>
      </c>
      <c r="C5" s="18" t="s">
        <v>64</v>
      </c>
      <c r="D5" s="18" t="s">
        <v>173</v>
      </c>
      <c r="E5" s="18" t="s">
        <v>65</v>
      </c>
      <c r="F5" s="18" t="s">
        <v>174</v>
      </c>
      <c r="G5" s="18" t="s">
        <v>75</v>
      </c>
      <c r="H5" s="18" t="s">
        <v>175</v>
      </c>
      <c r="I5" s="18" t="s">
        <v>176</v>
      </c>
      <c r="J5" s="18" t="s">
        <v>177</v>
      </c>
      <c r="K5" s="18" t="s">
        <v>178</v>
      </c>
      <c r="L5" s="18" t="s">
        <v>156</v>
      </c>
      <c r="M5" s="18" t="s">
        <v>60</v>
      </c>
      <c r="N5" s="18" t="s">
        <v>179</v>
      </c>
      <c r="O5" s="18" t="s">
        <v>180</v>
      </c>
    </row>
    <row r="6" customFormat="false" ht="15" hidden="false" customHeight="false" outlineLevel="0" collapsed="false">
      <c r="A6" s="13" t="n">
        <v>1</v>
      </c>
      <c r="B6" s="27" t="str">
        <f aca="false">'Supplier Profile'!A3</f>
        <v>RM-SS-TUBE-316L</v>
      </c>
      <c r="C6" s="27" t="str">
        <f aca="false">'Supplier Profile'!B3</f>
        <v>Stainless Steel</v>
      </c>
      <c r="D6" s="28" t="n">
        <f aca="false">COUNTIF('BOM Cost Build-up'!$D$27:$D$48,B6)</f>
        <v>4</v>
      </c>
      <c r="E6" s="28" t="n">
        <f aca="false">COUNTIF(Assumptions!$B$20:$B$30,B6)</f>
        <v>3</v>
      </c>
      <c r="F6" s="40" t="n">
        <f aca="false">SUMIF(Assumptions!$B$20:$B$30,B6,Assumptions!$F$20:$F$30)</f>
        <v>1</v>
      </c>
      <c r="G6" s="29" t="n">
        <f aca="false">SUMIF('BOM Cost Build-up'!$D$27:$D$48,B6,'BOM Cost Build-up'!$H$27:$H$48)</f>
        <v>31.5064</v>
      </c>
      <c r="H6" s="50" t="n">
        <f aca="false">IF($G$14=0,0,G6/$G$14)</f>
        <v>0.112362339514979</v>
      </c>
      <c r="I6" s="29" t="n">
        <f aca="false">IF(F6=0,0,SUMPRODUCT((Assumptions!$B$20:$B$30=B6)*Assumptions!$F$20:$F$30*Assumptions!$G$20:$G$30)/F6)</f>
        <v>4.155</v>
      </c>
      <c r="J6" s="29" t="n">
        <f aca="false">IF(F6=0,0,SUMPRODUCT((Assumptions!$B$20:$B$30=B6)*Assumptions!$F$20:$F$30*Assumptions!$I$20:$I$30)/F6)</f>
        <v>4.155</v>
      </c>
      <c r="K6" s="52" t="n">
        <f aca="false">IF(I6=0,1,J6/I6)</f>
        <v>1</v>
      </c>
      <c r="L6" s="21" t="n">
        <f aca="false">G6*K6</f>
        <v>31.5064</v>
      </c>
      <c r="M6" s="21" t="n">
        <f aca="false">L6-G6</f>
        <v>0</v>
      </c>
      <c r="N6" s="59" t="n">
        <f aca="false">IF(I6=0,0,G6/I6)</f>
        <v>7.58276774969916</v>
      </c>
      <c r="O6" s="23" t="n">
        <f aca="false">N6*Assumptions!$C$15</f>
        <v>154688.462093863</v>
      </c>
    </row>
    <row r="7" customFormat="false" ht="15" hidden="false" customHeight="false" outlineLevel="0" collapsed="false">
      <c r="A7" s="13" t="n">
        <v>2</v>
      </c>
      <c r="B7" s="27" t="str">
        <f aca="false">'Supplier Profile'!A6</f>
        <v>RM-RUBBER-EPDM/NBR</v>
      </c>
      <c r="C7" s="27" t="str">
        <f aca="false">'Supplier Profile'!B6</f>
        <v>Synthetic Rubber</v>
      </c>
      <c r="D7" s="28" t="n">
        <f aca="false">COUNTIF('BOM Cost Build-up'!$D$27:$D$48,B7)</f>
        <v>5</v>
      </c>
      <c r="E7" s="28" t="n">
        <f aca="false">COUNTIF(Assumptions!$B$20:$B$30,B7)</f>
        <v>1</v>
      </c>
      <c r="F7" s="40" t="n">
        <f aca="false">SUMIF(Assumptions!$B$20:$B$30,B7,Assumptions!$F$20:$F$30)</f>
        <v>1</v>
      </c>
      <c r="G7" s="29" t="n">
        <f aca="false">SUMIF('BOM Cost Build-up'!$D$27:$D$48,B7,'BOM Cost Build-up'!$H$27:$H$48)</f>
        <v>18.6652</v>
      </c>
      <c r="H7" s="50" t="n">
        <f aca="false">IF($G$14=0,0,G7/$G$14)</f>
        <v>0.0665663338088445</v>
      </c>
      <c r="I7" s="29" t="n">
        <f aca="false">IF(F7=0,0,SUMPRODUCT((Assumptions!$B$20:$B$30=B7)*Assumptions!$F$20:$F$30*Assumptions!$G$20:$G$30)/F7)</f>
        <v>2.9</v>
      </c>
      <c r="J7" s="29" t="n">
        <f aca="false">IF(F7=0,0,SUMPRODUCT((Assumptions!$B$20:$B$30=B7)*Assumptions!$F$20:$F$30*Assumptions!$I$20:$I$30)/F7)</f>
        <v>2.9</v>
      </c>
      <c r="K7" s="52" t="n">
        <f aca="false">IF(I7=0,1,J7/I7)</f>
        <v>1</v>
      </c>
      <c r="L7" s="21" t="n">
        <f aca="false">G7*K7</f>
        <v>18.6652</v>
      </c>
      <c r="M7" s="21" t="n">
        <f aca="false">L7-G7</f>
        <v>0</v>
      </c>
      <c r="N7" s="59" t="n">
        <f aca="false">IF(I7=0,0,G7/I7)</f>
        <v>6.43627586206897</v>
      </c>
      <c r="O7" s="23" t="n">
        <f aca="false">N7*Assumptions!$C$15</f>
        <v>131300.027586207</v>
      </c>
    </row>
    <row r="8" customFormat="false" ht="15" hidden="false" customHeight="false" outlineLevel="0" collapsed="false">
      <c r="A8" s="13" t="n">
        <v>3</v>
      </c>
      <c r="B8" s="27" t="str">
        <f aca="false">'Supplier Profile'!A7</f>
        <v>RM-BRASS</v>
      </c>
      <c r="C8" s="27" t="str">
        <f aca="false">'Supplier Profile'!B7</f>
        <v>Brass</v>
      </c>
      <c r="D8" s="28" t="n">
        <f aca="false">COUNTIF('BOM Cost Build-up'!$D$27:$D$48,B8)</f>
        <v>1</v>
      </c>
      <c r="E8" s="28" t="n">
        <f aca="false">COUNTIF(Assumptions!$B$20:$B$30,B8)</f>
        <v>1</v>
      </c>
      <c r="F8" s="40" t="n">
        <f aca="false">SUMIF(Assumptions!$B$20:$B$30,B8,Assumptions!$F$20:$F$30)</f>
        <v>1</v>
      </c>
      <c r="G8" s="29" t="n">
        <f aca="false">SUMIF('BOM Cost Build-up'!$D$27:$D$48,B8,'BOM Cost Build-up'!$H$27:$H$48)</f>
        <v>3.8586</v>
      </c>
      <c r="H8" s="50" t="n">
        <f aca="false">IF($G$14=0,0,G8/$G$14)</f>
        <v>0.0137610556348074</v>
      </c>
      <c r="I8" s="29" t="n">
        <f aca="false">IF(F8=0,0,SUMPRODUCT((Assumptions!$B$20:$B$30=B8)*Assumptions!$F$20:$F$30*Assumptions!$G$20:$G$30)/F8)</f>
        <v>3.6</v>
      </c>
      <c r="J8" s="29" t="n">
        <f aca="false">IF(F8=0,0,SUMPRODUCT((Assumptions!$B$20:$B$30=B8)*Assumptions!$F$20:$F$30*Assumptions!$I$20:$I$30)/F8)</f>
        <v>3.6</v>
      </c>
      <c r="K8" s="52" t="n">
        <f aca="false">IF(I8=0,1,J8/I8)</f>
        <v>1</v>
      </c>
      <c r="L8" s="21" t="n">
        <f aca="false">G8*K8</f>
        <v>3.8586</v>
      </c>
      <c r="M8" s="21" t="n">
        <f aca="false">L8-G8</f>
        <v>0</v>
      </c>
      <c r="N8" s="59" t="n">
        <f aca="false">IF(I8=0,0,G8/I8)</f>
        <v>1.07183333333333</v>
      </c>
      <c r="O8" s="23" t="n">
        <f aca="false">N8*Assumptions!$C$15</f>
        <v>21865.4</v>
      </c>
    </row>
    <row r="9" customFormat="false" ht="15" hidden="false" customHeight="false" outlineLevel="0" collapsed="false">
      <c r="A9" s="13" t="n">
        <v>4</v>
      </c>
      <c r="B9" s="27" t="str">
        <f aca="false">'Supplier Profile'!A8</f>
        <v>RM-STEEL-ALLOY</v>
      </c>
      <c r="C9" s="27" t="str">
        <f aca="false">'Supplier Profile'!B8</f>
        <v>Steel Alloy</v>
      </c>
      <c r="D9" s="28" t="n">
        <f aca="false">COUNTIF('BOM Cost Build-up'!$D$27:$D$48,B9)</f>
        <v>7</v>
      </c>
      <c r="E9" s="28" t="n">
        <f aca="false">COUNTIF(Assumptions!$B$20:$B$30,B9)</f>
        <v>2</v>
      </c>
      <c r="F9" s="40" t="n">
        <f aca="false">SUMIF(Assumptions!$B$20:$B$30,B9,Assumptions!$F$20:$F$30)</f>
        <v>1</v>
      </c>
      <c r="G9" s="29" t="n">
        <f aca="false">SUMIF('BOM Cost Build-up'!$D$27:$D$48,B9,'BOM Cost Build-up'!$H$27:$H$48)</f>
        <v>161.454</v>
      </c>
      <c r="H9" s="50" t="n">
        <f aca="false">IF($G$14=0,0,G9/$G$14)</f>
        <v>0.575798858773181</v>
      </c>
      <c r="I9" s="29" t="n">
        <f aca="false">IF(F9=0,0,SUMPRODUCT((Assumptions!$B$20:$B$30=B9)*Assumptions!$F$20:$F$30*Assumptions!$G$20:$G$30)/F9)</f>
        <v>8.46</v>
      </c>
      <c r="J9" s="29" t="n">
        <f aca="false">IF(F9=0,0,SUMPRODUCT((Assumptions!$B$20:$B$30=B9)*Assumptions!$F$20:$F$30*Assumptions!$I$20:$I$30)/F9)</f>
        <v>8.46</v>
      </c>
      <c r="K9" s="52" t="n">
        <f aca="false">IF(I9=0,1,J9/I9)</f>
        <v>1</v>
      </c>
      <c r="L9" s="21" t="n">
        <f aca="false">G9*K9</f>
        <v>161.454</v>
      </c>
      <c r="M9" s="21" t="n">
        <f aca="false">L9-G9</f>
        <v>0</v>
      </c>
      <c r="N9" s="59" t="n">
        <f aca="false">IF(I9=0,0,G9/I9)</f>
        <v>19.0843971631206</v>
      </c>
      <c r="O9" s="23" t="n">
        <f aca="false">N9*Assumptions!$C$15</f>
        <v>389321.70212766</v>
      </c>
    </row>
    <row r="10" customFormat="false" ht="15" hidden="false" customHeight="false" outlineLevel="0" collapsed="false">
      <c r="A10" s="13" t="n">
        <v>5</v>
      </c>
      <c r="B10" s="27" t="str">
        <f aca="false">'Supplier Profile'!A10</f>
        <v>RM-BEARING-STEEL</v>
      </c>
      <c r="C10" s="27" t="str">
        <f aca="false">'Supplier Profile'!B10</f>
        <v>Bearing Steel</v>
      </c>
      <c r="D10" s="28" t="n">
        <f aca="false">COUNTIF('BOM Cost Build-up'!$D$27:$D$48,B10)</f>
        <v>2</v>
      </c>
      <c r="E10" s="28" t="n">
        <f aca="false">COUNTIF(Assumptions!$B$20:$B$30,B10)</f>
        <v>1</v>
      </c>
      <c r="F10" s="40" t="n">
        <f aca="false">SUMIF(Assumptions!$B$20:$B$30,B10,Assumptions!$F$20:$F$30)</f>
        <v>1</v>
      </c>
      <c r="G10" s="29" t="n">
        <f aca="false">SUMIF('BOM Cost Build-up'!$D$27:$D$48,B10,'BOM Cost Build-up'!$H$27:$H$48)</f>
        <v>40</v>
      </c>
      <c r="H10" s="50" t="n">
        <f aca="false">IF($G$14=0,0,G10/$G$14)</f>
        <v>0.14265335235378</v>
      </c>
      <c r="I10" s="29" t="n">
        <f aca="false">IF(F10=0,0,SUMPRODUCT((Assumptions!$B$20:$B$30=B10)*Assumptions!$F$20:$F$30*Assumptions!$G$20:$G$30)/F10)</f>
        <v>9.5</v>
      </c>
      <c r="J10" s="29" t="n">
        <f aca="false">IF(F10=0,0,SUMPRODUCT((Assumptions!$B$20:$B$30=B10)*Assumptions!$F$20:$F$30*Assumptions!$I$20:$I$30)/F10)</f>
        <v>9.5</v>
      </c>
      <c r="K10" s="52" t="n">
        <f aca="false">IF(I10=0,1,J10/I10)</f>
        <v>1</v>
      </c>
      <c r="L10" s="21" t="n">
        <f aca="false">G10*K10</f>
        <v>40</v>
      </c>
      <c r="M10" s="21" t="n">
        <f aca="false">L10-G10</f>
        <v>0</v>
      </c>
      <c r="N10" s="59" t="n">
        <f aca="false">IF(I10=0,0,G10/I10)</f>
        <v>4.21052631578947</v>
      </c>
      <c r="O10" s="23" t="n">
        <f aca="false">N10*Assumptions!$C$15</f>
        <v>85894.7368421053</v>
      </c>
    </row>
    <row r="11" customFormat="false" ht="15" hidden="false" customHeight="false" outlineLevel="0" collapsed="false">
      <c r="A11" s="13" t="n">
        <v>6</v>
      </c>
      <c r="B11" s="27" t="str">
        <f aca="false">'Supplier Profile'!A11</f>
        <v>RM-GREASE</v>
      </c>
      <c r="C11" s="27" t="str">
        <f aca="false">'Supplier Profile'!B11</f>
        <v>High Temp Grease</v>
      </c>
      <c r="D11" s="28" t="n">
        <f aca="false">COUNTIF('BOM Cost Build-up'!$D$27:$D$48,B11)</f>
        <v>1</v>
      </c>
      <c r="E11" s="28" t="n">
        <f aca="false">COUNTIF(Assumptions!$B$20:$B$30,B11)</f>
        <v>1</v>
      </c>
      <c r="F11" s="40" t="n">
        <f aca="false">SUMIF(Assumptions!$B$20:$B$30,B11,Assumptions!$F$20:$F$30)</f>
        <v>1</v>
      </c>
      <c r="G11" s="29" t="n">
        <f aca="false">SUMIF('BOM Cost Build-up'!$D$27:$D$48,B11,'BOM Cost Build-up'!$H$27:$H$48)</f>
        <v>2.7816</v>
      </c>
      <c r="H11" s="50" t="n">
        <f aca="false">IF($G$14=0,0,G11/$G$14)</f>
        <v>0.00992011412268188</v>
      </c>
      <c r="I11" s="29" t="n">
        <f aca="false">IF(F11=0,0,SUMPRODUCT((Assumptions!$B$20:$B$30=B11)*Assumptions!$F$20:$F$30*Assumptions!$G$20:$G$30)/F11)</f>
        <v>2.5</v>
      </c>
      <c r="J11" s="29" t="n">
        <f aca="false">IF(F11=0,0,SUMPRODUCT((Assumptions!$B$20:$B$30=B11)*Assumptions!$F$20:$F$30*Assumptions!$I$20:$I$30)/F11)</f>
        <v>2.5</v>
      </c>
      <c r="K11" s="52" t="n">
        <f aca="false">IF(I11=0,1,J11/I11)</f>
        <v>1</v>
      </c>
      <c r="L11" s="21" t="n">
        <f aca="false">G11*K11</f>
        <v>2.7816</v>
      </c>
      <c r="M11" s="21" t="n">
        <f aca="false">L11-G11</f>
        <v>0</v>
      </c>
      <c r="N11" s="59" t="n">
        <f aca="false">IF(I11=0,0,G11/I11)</f>
        <v>1.11264</v>
      </c>
      <c r="O11" s="23" t="n">
        <f aca="false">N11*Assumptions!$C$15</f>
        <v>22697.856</v>
      </c>
    </row>
    <row r="12" customFormat="false" ht="15" hidden="false" customHeight="false" outlineLevel="0" collapsed="false">
      <c r="A12" s="13" t="n">
        <v>7</v>
      </c>
      <c r="B12" s="27" t="str">
        <f aca="false">'Supplier Profile'!A12</f>
        <v>RM-PLASTIC-POM</v>
      </c>
      <c r="C12" s="27" t="str">
        <f aca="false">'Supplier Profile'!B12</f>
        <v>Engineering Plastic</v>
      </c>
      <c r="D12" s="28" t="n">
        <f aca="false">COUNTIF('BOM Cost Build-up'!$D$27:$D$48,B12)</f>
        <v>1</v>
      </c>
      <c r="E12" s="28" t="n">
        <f aca="false">COUNTIF(Assumptions!$B$20:$B$30,B12)</f>
        <v>1</v>
      </c>
      <c r="F12" s="40" t="n">
        <f aca="false">SUMIF(Assumptions!$B$20:$B$30,B12,Assumptions!$F$20:$F$30)</f>
        <v>1</v>
      </c>
      <c r="G12" s="29" t="n">
        <f aca="false">SUMIF('BOM Cost Build-up'!$D$27:$D$48,B12,'BOM Cost Build-up'!$H$27:$H$48)</f>
        <v>1.1882</v>
      </c>
      <c r="H12" s="50" t="n">
        <f aca="false">IF($G$14=0,0,G12/$G$14)</f>
        <v>0.00423751783166904</v>
      </c>
      <c r="I12" s="29" t="n">
        <f aca="false">IF(F12=0,0,SUMPRODUCT((Assumptions!$B$20:$B$30=B12)*Assumptions!$F$20:$F$30*Assumptions!$G$20:$G$30)/F12)</f>
        <v>1.1</v>
      </c>
      <c r="J12" s="29" t="n">
        <f aca="false">IF(F12=0,0,SUMPRODUCT((Assumptions!$B$20:$B$30=B12)*Assumptions!$F$20:$F$30*Assumptions!$I$20:$I$30)/F12)</f>
        <v>1.1</v>
      </c>
      <c r="K12" s="52" t="n">
        <f aca="false">IF(I12=0,1,J12/I12)</f>
        <v>1</v>
      </c>
      <c r="L12" s="21" t="n">
        <f aca="false">G12*K12</f>
        <v>1.1882</v>
      </c>
      <c r="M12" s="21" t="n">
        <f aca="false">L12-G12</f>
        <v>0</v>
      </c>
      <c r="N12" s="59" t="n">
        <f aca="false">IF(I12=0,0,G12/I12)</f>
        <v>1.08018181818182</v>
      </c>
      <c r="O12" s="23" t="n">
        <f aca="false">N12*Assumptions!$C$15</f>
        <v>22035.7090909091</v>
      </c>
    </row>
    <row r="13" customFormat="false" ht="15" hidden="false" customHeight="false" outlineLevel="0" collapsed="false">
      <c r="A13" s="13" t="n">
        <v>8</v>
      </c>
      <c r="B13" s="27" t="str">
        <f aca="false">'Supplier Profile'!A13</f>
        <v>RM-FRICTION-MAT</v>
      </c>
      <c r="C13" s="27" t="str">
        <f aca="false">'Supplier Profile'!B13</f>
        <v>Friction Material</v>
      </c>
      <c r="D13" s="28" t="n">
        <f aca="false">COUNTIF('BOM Cost Build-up'!$D$27:$D$48,B13)</f>
        <v>1</v>
      </c>
      <c r="E13" s="28" t="n">
        <f aca="false">COUNTIF(Assumptions!$B$20:$B$30,B13)</f>
        <v>1</v>
      </c>
      <c r="F13" s="40" t="n">
        <f aca="false">SUMIF(Assumptions!$B$20:$B$30,B13,Assumptions!$F$20:$F$30)</f>
        <v>1</v>
      </c>
      <c r="G13" s="29" t="n">
        <f aca="false">SUMIF('BOM Cost Build-up'!$D$27:$D$48,B13,'BOM Cost Build-up'!$H$27:$H$48)</f>
        <v>20.946</v>
      </c>
      <c r="H13" s="50" t="n">
        <f aca="false">IF($G$14=0,0,G13/$G$14)</f>
        <v>0.0747004279600571</v>
      </c>
      <c r="I13" s="29" t="n">
        <f aca="false">IF(F13=0,0,SUMPRODUCT((Assumptions!$B$20:$B$30=B13)*Assumptions!$F$20:$F$30*Assumptions!$G$20:$G$30)/F13)</f>
        <v>19.5</v>
      </c>
      <c r="J13" s="29" t="n">
        <f aca="false">IF(F13=0,0,SUMPRODUCT((Assumptions!$B$20:$B$30=B13)*Assumptions!$F$20:$F$30*Assumptions!$I$20:$I$30)/F13)</f>
        <v>19.5</v>
      </c>
      <c r="K13" s="52" t="n">
        <f aca="false">IF(I13=0,1,J13/I13)</f>
        <v>1</v>
      </c>
      <c r="L13" s="21" t="n">
        <f aca="false">G13*K13</f>
        <v>20.946</v>
      </c>
      <c r="M13" s="21" t="n">
        <f aca="false">L13-G13</f>
        <v>0</v>
      </c>
      <c r="N13" s="59" t="n">
        <f aca="false">IF(I13=0,0,G13/I13)</f>
        <v>1.07415384615385</v>
      </c>
      <c r="O13" s="23" t="n">
        <f aca="false">N13*Assumptions!$C$15</f>
        <v>21912.7384615385</v>
      </c>
    </row>
    <row r="14" customFormat="false" ht="15" hidden="false" customHeight="false" outlineLevel="0" collapsed="false">
      <c r="A14" s="32"/>
      <c r="B14" s="33" t="s">
        <v>61</v>
      </c>
      <c r="C14" s="32"/>
      <c r="D14" s="37" t="n">
        <f aca="false">SUM(D6:D13)</f>
        <v>22</v>
      </c>
      <c r="E14" s="32"/>
      <c r="F14" s="32"/>
      <c r="G14" s="34" t="n">
        <f aca="false">SUM(G6:G13)</f>
        <v>280.4</v>
      </c>
      <c r="H14" s="53" t="n">
        <f aca="false">SUM(H6:H13)</f>
        <v>1</v>
      </c>
      <c r="I14" s="32"/>
      <c r="J14" s="32"/>
      <c r="K14" s="32"/>
      <c r="L14" s="34" t="n">
        <f aca="false">SUM(L6:L13)</f>
        <v>280.4</v>
      </c>
      <c r="M14" s="34" t="n">
        <f aca="false">SUM(M6:M13)</f>
        <v>0</v>
      </c>
      <c r="N14" s="32"/>
      <c r="O14" s="32"/>
      <c r="P14" s="32"/>
    </row>
    <row r="15" customFormat="false" ht="15" hidden="false" customHeight="false" outlineLevel="0" collapsed="false">
      <c r="B15" s="3" t="s">
        <v>181</v>
      </c>
    </row>
    <row r="16" customFormat="false" ht="15" hidden="false" customHeight="false" outlineLevel="0" collapsed="false">
      <c r="A16" s="4" t="s">
        <v>182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customFormat="false" ht="42" hidden="false" customHeight="true" outlineLevel="0" collapsed="false">
      <c r="A17" s="18" t="s">
        <v>52</v>
      </c>
      <c r="B17" s="18" t="s">
        <v>67</v>
      </c>
      <c r="C17" s="18" t="s">
        <v>68</v>
      </c>
      <c r="D17" s="18" t="s">
        <v>63</v>
      </c>
      <c r="E17" s="18" t="s">
        <v>64</v>
      </c>
      <c r="F17" s="18" t="s">
        <v>122</v>
      </c>
      <c r="G17" s="18" t="s">
        <v>123</v>
      </c>
      <c r="H17" s="18" t="s">
        <v>183</v>
      </c>
      <c r="I17" s="18" t="s">
        <v>75</v>
      </c>
      <c r="J17" s="18" t="s">
        <v>175</v>
      </c>
      <c r="K17" s="18" t="s">
        <v>184</v>
      </c>
      <c r="L17" s="18" t="s">
        <v>185</v>
      </c>
      <c r="M17" s="18" t="s">
        <v>124</v>
      </c>
      <c r="N17" s="18" t="s">
        <v>156</v>
      </c>
      <c r="O17" s="18" t="s">
        <v>60</v>
      </c>
      <c r="P17" s="18" t="s">
        <v>186</v>
      </c>
    </row>
    <row r="18" customFormat="false" ht="15" hidden="false" customHeight="false" outlineLevel="0" collapsed="false">
      <c r="A18" s="13" t="n">
        <v>1</v>
      </c>
      <c r="B18" s="27" t="str">
        <f aca="false">Assumptions!D20</f>
        <v>SteelCorp Ltd.</v>
      </c>
      <c r="C18" s="27" t="str">
        <f aca="false">Assumptions!E20</f>
        <v>Japan</v>
      </c>
      <c r="D18" s="27" t="str">
        <f aca="false">Assumptions!B20</f>
        <v>RM-SS-TUBE-316L</v>
      </c>
      <c r="E18" s="27" t="str">
        <f aca="false">Assumptions!C20</f>
        <v>Stainless Steel</v>
      </c>
      <c r="F18" s="40" t="n">
        <f aca="false">Assumptions!F20</f>
        <v>0.4</v>
      </c>
      <c r="G18" s="29" t="n">
        <f aca="false">Assumptions!G20</f>
        <v>4.2</v>
      </c>
      <c r="H18" s="22" t="n">
        <f aca="false">IFERROR(F18*G18/SUMPRODUCT(($D$18:$D$28=D18)*$F$18:$F$28*$G$18:$G$28),0)</f>
        <v>0.404332129963899</v>
      </c>
      <c r="I18" s="21" t="n">
        <f aca="false">INDEX($G$6:$G$13,MATCH(D18,$B$6:$B$13,0))*H18</f>
        <v>12.7390498194946</v>
      </c>
      <c r="J18" s="50" t="n">
        <f aca="false">IF($I$29=0,0,I18/$I$29)</f>
        <v>0.0454317040638181</v>
      </c>
      <c r="K18" s="31" t="n">
        <f aca="false">I18*Assumptions!$C$15</f>
        <v>259876.61631769</v>
      </c>
      <c r="L18" s="31" t="n">
        <f aca="false">I18*Assumptions!$C$16</f>
        <v>3118519.39581227</v>
      </c>
      <c r="M18" s="40" t="n">
        <f aca="false">Assumptions!H20</f>
        <v>0</v>
      </c>
      <c r="N18" s="21" t="n">
        <f aca="false">I18*(1+M18)</f>
        <v>12.7390498194946</v>
      </c>
      <c r="O18" s="21" t="n">
        <f aca="false">N18-I18</f>
        <v>0</v>
      </c>
      <c r="P18" s="24" t="n">
        <f aca="false">INDEX($O$6:$O$13,MATCH(D18,$B$6:$B$13,0))*F18</f>
        <v>61875.3848375451</v>
      </c>
    </row>
    <row r="19" customFormat="false" ht="15" hidden="false" customHeight="false" outlineLevel="0" collapsed="false">
      <c r="A19" s="13" t="n">
        <v>2</v>
      </c>
      <c r="B19" s="27" t="str">
        <f aca="false">Assumptions!D21</f>
        <v>Nihon Metal Works</v>
      </c>
      <c r="C19" s="27" t="str">
        <f aca="false">Assumptions!E21</f>
        <v>Japan</v>
      </c>
      <c r="D19" s="27" t="str">
        <f aca="false">Assumptions!B21</f>
        <v>RM-SS-TUBE-316L</v>
      </c>
      <c r="E19" s="27" t="str">
        <f aca="false">Assumptions!C21</f>
        <v>Stainless Steel</v>
      </c>
      <c r="F19" s="40" t="n">
        <f aca="false">Assumptions!F21</f>
        <v>0.3</v>
      </c>
      <c r="G19" s="29" t="n">
        <f aca="false">Assumptions!G21</f>
        <v>4.1</v>
      </c>
      <c r="H19" s="22" t="n">
        <f aca="false">IFERROR(F19*G19/SUMPRODUCT(($D$18:$D$28=D19)*$F$18:$F$28*$G$18:$G$28),0)</f>
        <v>0.296028880866426</v>
      </c>
      <c r="I19" s="21" t="n">
        <f aca="false">INDEX($G$6:$G$13,MATCH(D19,$B$6:$B$13,0))*H19</f>
        <v>9.32680433212996</v>
      </c>
      <c r="J19" s="50" t="n">
        <f aca="false">IF($I$29=0,0,I19/$I$29)</f>
        <v>0.0332624976181525</v>
      </c>
      <c r="K19" s="31" t="n">
        <f aca="false">I19*Assumptions!$C$15</f>
        <v>190266.808375451</v>
      </c>
      <c r="L19" s="31" t="n">
        <f aca="false">I19*Assumptions!$C$16</f>
        <v>2283201.70050541</v>
      </c>
      <c r="M19" s="40" t="n">
        <f aca="false">Assumptions!H21</f>
        <v>0</v>
      </c>
      <c r="N19" s="21" t="n">
        <f aca="false">I19*(1+M19)</f>
        <v>9.32680433212996</v>
      </c>
      <c r="O19" s="21" t="n">
        <f aca="false">N19-I19</f>
        <v>0</v>
      </c>
      <c r="P19" s="24" t="n">
        <f aca="false">INDEX($O$6:$O$13,MATCH(D19,$B$6:$B$13,0))*F19</f>
        <v>46406.5386281588</v>
      </c>
    </row>
    <row r="20" customFormat="false" ht="15" hidden="false" customHeight="false" outlineLevel="0" collapsed="false">
      <c r="A20" s="13" t="n">
        <v>3</v>
      </c>
      <c r="B20" s="27" t="str">
        <f aca="false">Assumptions!D22</f>
        <v>GlobalSteel Industries</v>
      </c>
      <c r="C20" s="27" t="str">
        <f aca="false">Assumptions!E22</f>
        <v>South Korea</v>
      </c>
      <c r="D20" s="27" t="str">
        <f aca="false">Assumptions!B22</f>
        <v>RM-SS-TUBE-316L</v>
      </c>
      <c r="E20" s="27" t="str">
        <f aca="false">Assumptions!C22</f>
        <v>Stainless Steel</v>
      </c>
      <c r="F20" s="40" t="n">
        <f aca="false">Assumptions!F22</f>
        <v>0.3</v>
      </c>
      <c r="G20" s="29" t="n">
        <f aca="false">Assumptions!G22</f>
        <v>4.15</v>
      </c>
      <c r="H20" s="22" t="n">
        <f aca="false">IFERROR(F20*G20/SUMPRODUCT(($D$18:$D$28=D20)*$F$18:$F$28*$G$18:$G$28),0)</f>
        <v>0.299638989169675</v>
      </c>
      <c r="I20" s="21" t="n">
        <f aca="false">INDEX($G$6:$G$13,MATCH(D20,$B$6:$B$13,0))*H20</f>
        <v>9.44054584837545</v>
      </c>
      <c r="J20" s="50" t="n">
        <f aca="false">IF($I$29=0,0,I20/$I$29)</f>
        <v>0.033668137833008</v>
      </c>
      <c r="K20" s="31" t="n">
        <f aca="false">I20*Assumptions!$C$15</f>
        <v>192587.135306859</v>
      </c>
      <c r="L20" s="31" t="n">
        <f aca="false">I20*Assumptions!$C$16</f>
        <v>2311045.62368231</v>
      </c>
      <c r="M20" s="40" t="n">
        <f aca="false">Assumptions!H22</f>
        <v>0</v>
      </c>
      <c r="N20" s="21" t="n">
        <f aca="false">I20*(1+M20)</f>
        <v>9.44054584837545</v>
      </c>
      <c r="O20" s="21" t="n">
        <f aca="false">N20-I20</f>
        <v>0</v>
      </c>
      <c r="P20" s="24" t="n">
        <f aca="false">INDEX($O$6:$O$13,MATCH(D20,$B$6:$B$13,0))*F20</f>
        <v>46406.5386281588</v>
      </c>
    </row>
    <row r="21" customFormat="false" ht="15" hidden="false" customHeight="false" outlineLevel="0" collapsed="false">
      <c r="A21" s="13" t="n">
        <v>4</v>
      </c>
      <c r="B21" s="27" t="str">
        <f aca="false">Assumptions!D23</f>
        <v>PolyRubber Inc.</v>
      </c>
      <c r="C21" s="27" t="str">
        <f aca="false">Assumptions!E23</f>
        <v>Vietnam</v>
      </c>
      <c r="D21" s="27" t="str">
        <f aca="false">Assumptions!B23</f>
        <v>RM-RUBBER-EPDM/NBR</v>
      </c>
      <c r="E21" s="27" t="str">
        <f aca="false">Assumptions!C23</f>
        <v>Synthetic Rubber</v>
      </c>
      <c r="F21" s="40" t="n">
        <f aca="false">Assumptions!F23</f>
        <v>1</v>
      </c>
      <c r="G21" s="29" t="n">
        <f aca="false">Assumptions!G23</f>
        <v>2.9</v>
      </c>
      <c r="H21" s="22" t="n">
        <f aca="false">IFERROR(F21*G21/SUMPRODUCT(($D$18:$D$28=D21)*$F$18:$F$28*$G$18:$G$28),0)</f>
        <v>1</v>
      </c>
      <c r="I21" s="21" t="n">
        <f aca="false">INDEX($G$6:$G$13,MATCH(D21,$B$6:$B$13,0))*H21</f>
        <v>18.6652</v>
      </c>
      <c r="J21" s="50" t="n">
        <f aca="false">IF($I$29=0,0,I21/$I$29)</f>
        <v>0.0665663338088445</v>
      </c>
      <c r="K21" s="31" t="n">
        <f aca="false">I21*Assumptions!$C$15</f>
        <v>380770.08</v>
      </c>
      <c r="L21" s="31" t="n">
        <f aca="false">I21*Assumptions!$C$16</f>
        <v>4569240.96</v>
      </c>
      <c r="M21" s="40" t="n">
        <f aca="false">Assumptions!H23</f>
        <v>0</v>
      </c>
      <c r="N21" s="21" t="n">
        <f aca="false">I21*(1+M21)</f>
        <v>18.6652</v>
      </c>
      <c r="O21" s="21" t="n">
        <f aca="false">N21-I21</f>
        <v>0</v>
      </c>
      <c r="P21" s="24" t="n">
        <f aca="false">INDEX($O$6:$O$13,MATCH(D21,$B$6:$B$13,0))*F21</f>
        <v>131300.027586207</v>
      </c>
    </row>
    <row r="22" customFormat="false" ht="15" hidden="false" customHeight="false" outlineLevel="0" collapsed="false">
      <c r="A22" s="13" t="n">
        <v>5</v>
      </c>
      <c r="B22" s="27" t="str">
        <f aca="false">Assumptions!D24</f>
        <v>MetalWorks Co.</v>
      </c>
      <c r="C22" s="27" t="str">
        <f aca="false">Assumptions!E24</f>
        <v>Vietnam</v>
      </c>
      <c r="D22" s="27" t="str">
        <f aca="false">Assumptions!B24</f>
        <v>RM-BRASS</v>
      </c>
      <c r="E22" s="27" t="str">
        <f aca="false">Assumptions!C24</f>
        <v>Brass</v>
      </c>
      <c r="F22" s="40" t="n">
        <f aca="false">Assumptions!F24</f>
        <v>1</v>
      </c>
      <c r="G22" s="29" t="n">
        <f aca="false">Assumptions!G24</f>
        <v>3.6</v>
      </c>
      <c r="H22" s="22" t="n">
        <f aca="false">IFERROR(F22*G22/SUMPRODUCT(($D$18:$D$28=D22)*$F$18:$F$28*$G$18:$G$28),0)</f>
        <v>1</v>
      </c>
      <c r="I22" s="21" t="n">
        <f aca="false">INDEX($G$6:$G$13,MATCH(D22,$B$6:$B$13,0))*H22</f>
        <v>3.8586</v>
      </c>
      <c r="J22" s="50" t="n">
        <f aca="false">IF($I$29=0,0,I22/$I$29)</f>
        <v>0.0137610556348074</v>
      </c>
      <c r="K22" s="31" t="n">
        <f aca="false">I22*Assumptions!$C$15</f>
        <v>78715.44</v>
      </c>
      <c r="L22" s="31" t="n">
        <f aca="false">I22*Assumptions!$C$16</f>
        <v>944585.28</v>
      </c>
      <c r="M22" s="40" t="n">
        <f aca="false">Assumptions!H24</f>
        <v>0</v>
      </c>
      <c r="N22" s="21" t="n">
        <f aca="false">I22*(1+M22)</f>
        <v>3.8586</v>
      </c>
      <c r="O22" s="21" t="n">
        <f aca="false">N22-I22</f>
        <v>0</v>
      </c>
      <c r="P22" s="24" t="n">
        <f aca="false">INDEX($O$6:$O$13,MATCH(D22,$B$6:$B$13,0))*F22</f>
        <v>21865.4</v>
      </c>
    </row>
    <row r="23" customFormat="false" ht="15" hidden="false" customHeight="false" outlineLevel="0" collapsed="false">
      <c r="A23" s="13" t="n">
        <v>6</v>
      </c>
      <c r="B23" s="27" t="str">
        <f aca="false">Assumptions!D25</f>
        <v>SteelCorp Ltd.</v>
      </c>
      <c r="C23" s="27" t="str">
        <f aca="false">Assumptions!E25</f>
        <v>Japan</v>
      </c>
      <c r="D23" s="27" t="str">
        <f aca="false">Assumptions!B25</f>
        <v>RM-STEEL-ALLOY</v>
      </c>
      <c r="E23" s="27" t="str">
        <f aca="false">Assumptions!C25</f>
        <v>Steel Alloy</v>
      </c>
      <c r="F23" s="40" t="n">
        <f aca="false">Assumptions!F25</f>
        <v>0.6</v>
      </c>
      <c r="G23" s="29" t="n">
        <f aca="false">Assumptions!G25</f>
        <v>8.5</v>
      </c>
      <c r="H23" s="22" t="n">
        <f aca="false">IFERROR(F23*G23/SUMPRODUCT(($D$18:$D$28=D23)*$F$18:$F$28*$G$18:$G$28),0)</f>
        <v>0.602836879432624</v>
      </c>
      <c r="I23" s="21" t="n">
        <f aca="false">INDEX($G$6:$G$13,MATCH(D23,$B$6:$B$13,0))*H23</f>
        <v>97.3304255319149</v>
      </c>
      <c r="J23" s="50" t="n">
        <f aca="false">IF($I$29=0,0,I23/$I$29)</f>
        <v>0.347112787203691</v>
      </c>
      <c r="K23" s="31" t="n">
        <f aca="false">I23*Assumptions!$C$15</f>
        <v>1985540.68085106</v>
      </c>
      <c r="L23" s="31" t="n">
        <f aca="false">I23*Assumptions!$C$16</f>
        <v>23826488.1702128</v>
      </c>
      <c r="M23" s="40" t="n">
        <f aca="false">Assumptions!H25</f>
        <v>0</v>
      </c>
      <c r="N23" s="21" t="n">
        <f aca="false">I23*(1+M23)</f>
        <v>97.3304255319149</v>
      </c>
      <c r="O23" s="21" t="n">
        <f aca="false">N23-I23</f>
        <v>0</v>
      </c>
      <c r="P23" s="24" t="n">
        <f aca="false">INDEX($O$6:$O$13,MATCH(D23,$B$6:$B$13,0))*F23</f>
        <v>233593.021276596</v>
      </c>
    </row>
    <row r="24" customFormat="false" ht="15" hidden="false" customHeight="false" outlineLevel="0" collapsed="false">
      <c r="A24" s="13" t="n">
        <v>7</v>
      </c>
      <c r="B24" s="27" t="str">
        <f aca="false">Assumptions!D26</f>
        <v>GlobalSteel Industries</v>
      </c>
      <c r="C24" s="27" t="str">
        <f aca="false">Assumptions!E26</f>
        <v>South Korea</v>
      </c>
      <c r="D24" s="27" t="str">
        <f aca="false">Assumptions!B26</f>
        <v>RM-STEEL-ALLOY</v>
      </c>
      <c r="E24" s="27" t="str">
        <f aca="false">Assumptions!C26</f>
        <v>Steel Alloy</v>
      </c>
      <c r="F24" s="40" t="n">
        <f aca="false">Assumptions!F26</f>
        <v>0.4</v>
      </c>
      <c r="G24" s="29" t="n">
        <f aca="false">Assumptions!G26</f>
        <v>8.4</v>
      </c>
      <c r="H24" s="22" t="n">
        <f aca="false">IFERROR(F24*G24/SUMPRODUCT(($D$18:$D$28=D24)*$F$18:$F$28*$G$18:$G$28),0)</f>
        <v>0.397163120567376</v>
      </c>
      <c r="I24" s="21" t="n">
        <f aca="false">INDEX($G$6:$G$13,MATCH(D24,$B$6:$B$13,0))*H24</f>
        <v>64.1235744680851</v>
      </c>
      <c r="J24" s="50" t="n">
        <f aca="false">IF($I$29=0,0,I24/$I$29)</f>
        <v>0.22868607156949</v>
      </c>
      <c r="K24" s="31" t="n">
        <f aca="false">I24*Assumptions!$C$15</f>
        <v>1308120.91914894</v>
      </c>
      <c r="L24" s="31" t="n">
        <f aca="false">I24*Assumptions!$C$16</f>
        <v>15697451.0297872</v>
      </c>
      <c r="M24" s="40" t="n">
        <f aca="false">Assumptions!H26</f>
        <v>0</v>
      </c>
      <c r="N24" s="21" t="n">
        <f aca="false">I24*(1+M24)</f>
        <v>64.1235744680851</v>
      </c>
      <c r="O24" s="21" t="n">
        <f aca="false">N24-I24</f>
        <v>0</v>
      </c>
      <c r="P24" s="24" t="n">
        <f aca="false">INDEX($O$6:$O$13,MATCH(D24,$B$6:$B$13,0))*F24</f>
        <v>155728.680851064</v>
      </c>
    </row>
    <row r="25" customFormat="false" ht="15" hidden="false" customHeight="false" outlineLevel="0" collapsed="false">
      <c r="A25" s="13" t="n">
        <v>8</v>
      </c>
      <c r="B25" s="27" t="str">
        <f aca="false">Assumptions!D27</f>
        <v>SteelCorp Ltd.</v>
      </c>
      <c r="C25" s="27" t="str">
        <f aca="false">Assumptions!E27</f>
        <v>Japan</v>
      </c>
      <c r="D25" s="27" t="str">
        <f aca="false">Assumptions!B27</f>
        <v>RM-BEARING-STEEL</v>
      </c>
      <c r="E25" s="27" t="str">
        <f aca="false">Assumptions!C27</f>
        <v>Bearing Steel</v>
      </c>
      <c r="F25" s="40" t="n">
        <f aca="false">Assumptions!F27</f>
        <v>1</v>
      </c>
      <c r="G25" s="29" t="n">
        <f aca="false">Assumptions!G27</f>
        <v>9.5</v>
      </c>
      <c r="H25" s="22" t="n">
        <f aca="false">IFERROR(F25*G25/SUMPRODUCT(($D$18:$D$28=D25)*$F$18:$F$28*$G$18:$G$28),0)</f>
        <v>1</v>
      </c>
      <c r="I25" s="21" t="n">
        <f aca="false">INDEX($G$6:$G$13,MATCH(D25,$B$6:$B$13,0))*H25</f>
        <v>40</v>
      </c>
      <c r="J25" s="50" t="n">
        <f aca="false">IF($I$29=0,0,I25/$I$29)</f>
        <v>0.14265335235378</v>
      </c>
      <c r="K25" s="31" t="n">
        <f aca="false">I25*Assumptions!$C$15</f>
        <v>816000</v>
      </c>
      <c r="L25" s="31" t="n">
        <f aca="false">I25*Assumptions!$C$16</f>
        <v>9792000</v>
      </c>
      <c r="M25" s="40" t="n">
        <f aca="false">Assumptions!H27</f>
        <v>0</v>
      </c>
      <c r="N25" s="21" t="n">
        <f aca="false">I25*(1+M25)</f>
        <v>40</v>
      </c>
      <c r="O25" s="21" t="n">
        <f aca="false">N25-I25</f>
        <v>0</v>
      </c>
      <c r="P25" s="24" t="n">
        <f aca="false">INDEX($O$6:$O$13,MATCH(D25,$B$6:$B$13,0))*F25</f>
        <v>85894.7368421053</v>
      </c>
    </row>
    <row r="26" customFormat="false" ht="15" hidden="false" customHeight="false" outlineLevel="0" collapsed="false">
      <c r="A26" s="13" t="n">
        <v>9</v>
      </c>
      <c r="B26" s="27" t="str">
        <f aca="false">Assumptions!D28</f>
        <v>ChemLube Ltd.</v>
      </c>
      <c r="C26" s="27" t="str">
        <f aca="false">Assumptions!E28</f>
        <v>Vietnam</v>
      </c>
      <c r="D26" s="27" t="str">
        <f aca="false">Assumptions!B28</f>
        <v>RM-GREASE</v>
      </c>
      <c r="E26" s="27" t="str">
        <f aca="false">Assumptions!C28</f>
        <v>High Temp Grease</v>
      </c>
      <c r="F26" s="40" t="n">
        <f aca="false">Assumptions!F28</f>
        <v>1</v>
      </c>
      <c r="G26" s="29" t="n">
        <f aca="false">Assumptions!G28</f>
        <v>2.5</v>
      </c>
      <c r="H26" s="22" t="n">
        <f aca="false">IFERROR(F26*G26/SUMPRODUCT(($D$18:$D$28=D26)*$F$18:$F$28*$G$18:$G$28),0)</f>
        <v>1</v>
      </c>
      <c r="I26" s="21" t="n">
        <f aca="false">INDEX($G$6:$G$13,MATCH(D26,$B$6:$B$13,0))*H26</f>
        <v>2.7816</v>
      </c>
      <c r="J26" s="50" t="n">
        <f aca="false">IF($I$29=0,0,I26/$I$29)</f>
        <v>0.00992011412268188</v>
      </c>
      <c r="K26" s="31" t="n">
        <f aca="false">I26*Assumptions!$C$15</f>
        <v>56744.64</v>
      </c>
      <c r="L26" s="31" t="n">
        <f aca="false">I26*Assumptions!$C$16</f>
        <v>680935.68</v>
      </c>
      <c r="M26" s="40" t="n">
        <f aca="false">Assumptions!H28</f>
        <v>0</v>
      </c>
      <c r="N26" s="21" t="n">
        <f aca="false">I26*(1+M26)</f>
        <v>2.7816</v>
      </c>
      <c r="O26" s="21" t="n">
        <f aca="false">N26-I26</f>
        <v>0</v>
      </c>
      <c r="P26" s="24" t="n">
        <f aca="false">INDEX($O$6:$O$13,MATCH(D26,$B$6:$B$13,0))*F26</f>
        <v>22697.856</v>
      </c>
    </row>
    <row r="27" customFormat="false" ht="15" hidden="false" customHeight="false" outlineLevel="0" collapsed="false">
      <c r="A27" s="13" t="n">
        <v>10</v>
      </c>
      <c r="B27" s="27" t="str">
        <f aca="false">Assumptions!D29</f>
        <v>PolyRubber Inc.</v>
      </c>
      <c r="C27" s="27" t="str">
        <f aca="false">Assumptions!E29</f>
        <v>Vietnam</v>
      </c>
      <c r="D27" s="27" t="str">
        <f aca="false">Assumptions!B29</f>
        <v>RM-PLASTIC-POM</v>
      </c>
      <c r="E27" s="27" t="str">
        <f aca="false">Assumptions!C29</f>
        <v>Engineering Plastic</v>
      </c>
      <c r="F27" s="40" t="n">
        <f aca="false">Assumptions!F29</f>
        <v>1</v>
      </c>
      <c r="G27" s="29" t="n">
        <f aca="false">Assumptions!G29</f>
        <v>1.1</v>
      </c>
      <c r="H27" s="22" t="n">
        <f aca="false">IFERROR(F27*G27/SUMPRODUCT(($D$18:$D$28=D27)*$F$18:$F$28*$G$18:$G$28),0)</f>
        <v>1</v>
      </c>
      <c r="I27" s="21" t="n">
        <f aca="false">INDEX($G$6:$G$13,MATCH(D27,$B$6:$B$13,0))*H27</f>
        <v>1.1882</v>
      </c>
      <c r="J27" s="50" t="n">
        <f aca="false">IF($I$29=0,0,I27/$I$29)</f>
        <v>0.00423751783166904</v>
      </c>
      <c r="K27" s="31" t="n">
        <f aca="false">I27*Assumptions!$C$15</f>
        <v>24239.28</v>
      </c>
      <c r="L27" s="31" t="n">
        <f aca="false">I27*Assumptions!$C$16</f>
        <v>290871.36</v>
      </c>
      <c r="M27" s="40" t="n">
        <f aca="false">Assumptions!H29</f>
        <v>0</v>
      </c>
      <c r="N27" s="21" t="n">
        <f aca="false">I27*(1+M27)</f>
        <v>1.1882</v>
      </c>
      <c r="O27" s="21" t="n">
        <f aca="false">N27-I27</f>
        <v>0</v>
      </c>
      <c r="P27" s="24" t="n">
        <f aca="false">INDEX($O$6:$O$13,MATCH(D27,$B$6:$B$13,0))*F27</f>
        <v>22035.7090909091</v>
      </c>
    </row>
    <row r="28" customFormat="false" ht="15" hidden="false" customHeight="false" outlineLevel="0" collapsed="false">
      <c r="A28" s="13" t="n">
        <v>11</v>
      </c>
      <c r="B28" s="27" t="str">
        <f aca="false">Assumptions!D30</f>
        <v>FrictionTech Co.</v>
      </c>
      <c r="C28" s="27" t="str">
        <f aca="false">Assumptions!E30</f>
        <v>Japan</v>
      </c>
      <c r="D28" s="27" t="str">
        <f aca="false">Assumptions!B30</f>
        <v>RM-FRICTION-MAT</v>
      </c>
      <c r="E28" s="27" t="str">
        <f aca="false">Assumptions!C30</f>
        <v>Friction Material</v>
      </c>
      <c r="F28" s="40" t="n">
        <f aca="false">Assumptions!F30</f>
        <v>1</v>
      </c>
      <c r="G28" s="29" t="n">
        <f aca="false">Assumptions!G30</f>
        <v>19.5</v>
      </c>
      <c r="H28" s="22" t="n">
        <f aca="false">IFERROR(F28*G28/SUMPRODUCT(($D$18:$D$28=D28)*$F$18:$F$28*$G$18:$G$28),0)</f>
        <v>1</v>
      </c>
      <c r="I28" s="21" t="n">
        <f aca="false">INDEX($G$6:$G$13,MATCH(D28,$B$6:$B$13,0))*H28</f>
        <v>20.946</v>
      </c>
      <c r="J28" s="50" t="n">
        <f aca="false">IF($I$29=0,0,I28/$I$29)</f>
        <v>0.0747004279600571</v>
      </c>
      <c r="K28" s="31" t="n">
        <f aca="false">I28*Assumptions!$C$15</f>
        <v>427298.4</v>
      </c>
      <c r="L28" s="31" t="n">
        <f aca="false">I28*Assumptions!$C$16</f>
        <v>5127580.8</v>
      </c>
      <c r="M28" s="40" t="n">
        <f aca="false">Assumptions!H30</f>
        <v>0</v>
      </c>
      <c r="N28" s="21" t="n">
        <f aca="false">I28*(1+M28)</f>
        <v>20.946</v>
      </c>
      <c r="O28" s="21" t="n">
        <f aca="false">N28-I28</f>
        <v>0</v>
      </c>
      <c r="P28" s="24" t="n">
        <f aca="false">INDEX($O$6:$O$13,MATCH(D28,$B$6:$B$13,0))*F28</f>
        <v>21912.7384615385</v>
      </c>
    </row>
    <row r="29" customFormat="false" ht="15" hidden="false" customHeight="false" outlineLevel="0" collapsed="false">
      <c r="A29" s="32"/>
      <c r="B29" s="33" t="s">
        <v>61</v>
      </c>
      <c r="C29" s="32"/>
      <c r="D29" s="32"/>
      <c r="E29" s="32"/>
      <c r="F29" s="32"/>
      <c r="G29" s="32"/>
      <c r="H29" s="32"/>
      <c r="I29" s="34" t="n">
        <f aca="false">SUM(I18:I28)</f>
        <v>280.4</v>
      </c>
      <c r="J29" s="53" t="n">
        <f aca="false">SUM(J18:J28)</f>
        <v>1</v>
      </c>
      <c r="K29" s="36" t="n">
        <f aca="false">SUM(K18:K28)</f>
        <v>5720160</v>
      </c>
      <c r="L29" s="36" t="n">
        <f aca="false">SUM(L18:L28)</f>
        <v>68641920</v>
      </c>
      <c r="M29" s="32"/>
      <c r="N29" s="34" t="n">
        <f aca="false">SUM(N18:N28)</f>
        <v>280.4</v>
      </c>
      <c r="O29" s="34" t="n">
        <f aca="false">SUM(O18:O28)</f>
        <v>0</v>
      </c>
      <c r="P29" s="32"/>
    </row>
    <row r="31" customFormat="false" ht="15" hidden="false" customHeight="false" outlineLevel="0" collapsed="false">
      <c r="A31" s="4" t="s">
        <v>187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customFormat="false" ht="42" hidden="false" customHeight="true" outlineLevel="0" collapsed="false">
      <c r="A32" s="18" t="s">
        <v>52</v>
      </c>
      <c r="B32" s="18" t="s">
        <v>67</v>
      </c>
      <c r="C32" s="18" t="s">
        <v>68</v>
      </c>
      <c r="D32" s="18" t="s">
        <v>188</v>
      </c>
      <c r="E32" s="18" t="s">
        <v>75</v>
      </c>
      <c r="F32" s="18" t="s">
        <v>175</v>
      </c>
      <c r="G32" s="18" t="s">
        <v>184</v>
      </c>
      <c r="H32" s="18" t="s">
        <v>185</v>
      </c>
      <c r="I32" s="18" t="s">
        <v>156</v>
      </c>
      <c r="J32" s="18" t="s">
        <v>60</v>
      </c>
      <c r="K32" s="18" t="s">
        <v>189</v>
      </c>
    </row>
    <row r="33" customFormat="false" ht="15" hidden="false" customHeight="false" outlineLevel="0" collapsed="false">
      <c r="A33" s="13" t="n">
        <v>1</v>
      </c>
      <c r="B33" s="27" t="str">
        <f aca="false">'Supplier Profile'!C3</f>
        <v>SteelCorp Ltd.</v>
      </c>
      <c r="C33" s="5" t="str">
        <f aca="false">INDEX($C$18:$C$28,MATCH(B33,$B$18:$B$28,0))</f>
        <v>Japan</v>
      </c>
      <c r="D33" s="30" t="n">
        <f aca="false">COUNTIF($B$18:$B$28,B33)</f>
        <v>3</v>
      </c>
      <c r="E33" s="21" t="n">
        <f aca="false">SUMIF($B$18:$B$28,B33,$I$18:$I$28)</f>
        <v>150.069475351409</v>
      </c>
      <c r="F33" s="22" t="n">
        <f aca="false">IF($E$40=0,0,E33/$E$40)</f>
        <v>0.535197843621289</v>
      </c>
      <c r="G33" s="25" t="n">
        <f aca="false">SUMIF($B$18:$B$28,B33,$K$18:$K$28)</f>
        <v>3061417.29716875</v>
      </c>
      <c r="H33" s="25" t="n">
        <f aca="false">SUMIF($B$18:$B$28,B33,$L$18:$L$28)</f>
        <v>36737007.566025</v>
      </c>
      <c r="I33" s="21" t="n">
        <f aca="false">SUMIF($B$18:$B$28,B33,$N$18:$N$28)</f>
        <v>150.069475351409</v>
      </c>
      <c r="J33" s="21" t="n">
        <f aca="false">I33-E33</f>
        <v>0</v>
      </c>
      <c r="K33" s="22" t="n">
        <f aca="false">IF(E33=0,0,J33/E33)</f>
        <v>0</v>
      </c>
    </row>
    <row r="34" customFormat="false" ht="15" hidden="false" customHeight="false" outlineLevel="0" collapsed="false">
      <c r="A34" s="13" t="n">
        <v>2</v>
      </c>
      <c r="B34" s="27" t="str">
        <f aca="false">'Supplier Profile'!C4</f>
        <v>Nihon Metal Works</v>
      </c>
      <c r="C34" s="5" t="str">
        <f aca="false">INDEX($C$18:$C$28,MATCH(B34,$B$18:$B$28,0))</f>
        <v>Japan</v>
      </c>
      <c r="D34" s="30" t="n">
        <f aca="false">COUNTIF($B$18:$B$28,B34)</f>
        <v>1</v>
      </c>
      <c r="E34" s="21" t="n">
        <f aca="false">SUMIF($B$18:$B$28,B34,$I$18:$I$28)</f>
        <v>9.32680433212996</v>
      </c>
      <c r="F34" s="22" t="n">
        <f aca="false">IF($E$40=0,0,E34/$E$40)</f>
        <v>0.0332624976181525</v>
      </c>
      <c r="G34" s="25" t="n">
        <f aca="false">SUMIF($B$18:$B$28,B34,$K$18:$K$28)</f>
        <v>190266.808375451</v>
      </c>
      <c r="H34" s="25" t="n">
        <f aca="false">SUMIF($B$18:$B$28,B34,$L$18:$L$28)</f>
        <v>2283201.70050541</v>
      </c>
      <c r="I34" s="21" t="n">
        <f aca="false">SUMIF($B$18:$B$28,B34,$N$18:$N$28)</f>
        <v>9.32680433212996</v>
      </c>
      <c r="J34" s="21" t="n">
        <f aca="false">I34-E34</f>
        <v>0</v>
      </c>
      <c r="K34" s="22" t="n">
        <f aca="false">IF(E34=0,0,J34/E34)</f>
        <v>0</v>
      </c>
    </row>
    <row r="35" customFormat="false" ht="15" hidden="false" customHeight="false" outlineLevel="0" collapsed="false">
      <c r="A35" s="13" t="n">
        <v>3</v>
      </c>
      <c r="B35" s="27" t="str">
        <f aca="false">'Supplier Profile'!C5</f>
        <v>GlobalSteel Industries</v>
      </c>
      <c r="C35" s="5" t="str">
        <f aca="false">INDEX($C$18:$C$28,MATCH(B35,$B$18:$B$28,0))</f>
        <v>South Korea</v>
      </c>
      <c r="D35" s="30" t="n">
        <f aca="false">COUNTIF($B$18:$B$28,B35)</f>
        <v>2</v>
      </c>
      <c r="E35" s="21" t="n">
        <f aca="false">SUMIF($B$18:$B$28,B35,$I$18:$I$28)</f>
        <v>73.5641203164606</v>
      </c>
      <c r="F35" s="22" t="n">
        <f aca="false">IF($E$40=0,0,E35/$E$40)</f>
        <v>0.262354209402498</v>
      </c>
      <c r="G35" s="25" t="n">
        <f aca="false">SUMIF($B$18:$B$28,B35,$K$18:$K$28)</f>
        <v>1500708.0544558</v>
      </c>
      <c r="H35" s="25" t="n">
        <f aca="false">SUMIF($B$18:$B$28,B35,$L$18:$L$28)</f>
        <v>18008496.6534695</v>
      </c>
      <c r="I35" s="21" t="n">
        <f aca="false">SUMIF($B$18:$B$28,B35,$N$18:$N$28)</f>
        <v>73.5641203164606</v>
      </c>
      <c r="J35" s="21" t="n">
        <f aca="false">I35-E35</f>
        <v>0</v>
      </c>
      <c r="K35" s="22" t="n">
        <f aca="false">IF(E35=0,0,J35/E35)</f>
        <v>0</v>
      </c>
    </row>
    <row r="36" customFormat="false" ht="15" hidden="false" customHeight="false" outlineLevel="0" collapsed="false">
      <c r="A36" s="13" t="n">
        <v>4</v>
      </c>
      <c r="B36" s="27" t="str">
        <f aca="false">'Supplier Profile'!C6</f>
        <v>PolyRubber Inc.</v>
      </c>
      <c r="C36" s="5" t="str">
        <f aca="false">INDEX($C$18:$C$28,MATCH(B36,$B$18:$B$28,0))</f>
        <v>Vietnam</v>
      </c>
      <c r="D36" s="30" t="n">
        <f aca="false">COUNTIF($B$18:$B$28,B36)</f>
        <v>2</v>
      </c>
      <c r="E36" s="21" t="n">
        <f aca="false">SUMIF($B$18:$B$28,B36,$I$18:$I$28)</f>
        <v>19.8534</v>
      </c>
      <c r="F36" s="22" t="n">
        <f aca="false">IF($E$40=0,0,E36/$E$40)</f>
        <v>0.0708038516405136</v>
      </c>
      <c r="G36" s="25" t="n">
        <f aca="false">SUMIF($B$18:$B$28,B36,$K$18:$K$28)</f>
        <v>405009.36</v>
      </c>
      <c r="H36" s="25" t="n">
        <f aca="false">SUMIF($B$18:$B$28,B36,$L$18:$L$28)</f>
        <v>4860112.32</v>
      </c>
      <c r="I36" s="21" t="n">
        <f aca="false">SUMIF($B$18:$B$28,B36,$N$18:$N$28)</f>
        <v>19.8534</v>
      </c>
      <c r="J36" s="21" t="n">
        <f aca="false">I36-E36</f>
        <v>0</v>
      </c>
      <c r="K36" s="22" t="n">
        <f aca="false">IF(E36=0,0,J36/E36)</f>
        <v>0</v>
      </c>
    </row>
    <row r="37" customFormat="false" ht="15" hidden="false" customHeight="false" outlineLevel="0" collapsed="false">
      <c r="A37" s="13" t="n">
        <v>5</v>
      </c>
      <c r="B37" s="27" t="str">
        <f aca="false">'Supplier Profile'!C7</f>
        <v>MetalWorks Co.</v>
      </c>
      <c r="C37" s="5" t="str">
        <f aca="false">INDEX($C$18:$C$28,MATCH(B37,$B$18:$B$28,0))</f>
        <v>Vietnam</v>
      </c>
      <c r="D37" s="30" t="n">
        <f aca="false">COUNTIF($B$18:$B$28,B37)</f>
        <v>1</v>
      </c>
      <c r="E37" s="21" t="n">
        <f aca="false">SUMIF($B$18:$B$28,B37,$I$18:$I$28)</f>
        <v>3.8586</v>
      </c>
      <c r="F37" s="22" t="n">
        <f aca="false">IF($E$40=0,0,E37/$E$40)</f>
        <v>0.0137610556348074</v>
      </c>
      <c r="G37" s="25" t="n">
        <f aca="false">SUMIF($B$18:$B$28,B37,$K$18:$K$28)</f>
        <v>78715.44</v>
      </c>
      <c r="H37" s="25" t="n">
        <f aca="false">SUMIF($B$18:$B$28,B37,$L$18:$L$28)</f>
        <v>944585.28</v>
      </c>
      <c r="I37" s="21" t="n">
        <f aca="false">SUMIF($B$18:$B$28,B37,$N$18:$N$28)</f>
        <v>3.8586</v>
      </c>
      <c r="J37" s="21" t="n">
        <f aca="false">I37-E37</f>
        <v>0</v>
      </c>
      <c r="K37" s="22" t="n">
        <f aca="false">IF(E37=0,0,J37/E37)</f>
        <v>0</v>
      </c>
    </row>
    <row r="38" customFormat="false" ht="15" hidden="false" customHeight="false" outlineLevel="0" collapsed="false">
      <c r="A38" s="13" t="n">
        <v>6</v>
      </c>
      <c r="B38" s="27" t="str">
        <f aca="false">'Supplier Profile'!C11</f>
        <v>ChemLube Ltd.</v>
      </c>
      <c r="C38" s="5" t="str">
        <f aca="false">INDEX($C$18:$C$28,MATCH(B38,$B$18:$B$28,0))</f>
        <v>Vietnam</v>
      </c>
      <c r="D38" s="30" t="n">
        <f aca="false">COUNTIF($B$18:$B$28,B38)</f>
        <v>1</v>
      </c>
      <c r="E38" s="21" t="n">
        <f aca="false">SUMIF($B$18:$B$28,B38,$I$18:$I$28)</f>
        <v>2.7816</v>
      </c>
      <c r="F38" s="22" t="n">
        <f aca="false">IF($E$40=0,0,E38/$E$40)</f>
        <v>0.00992011412268188</v>
      </c>
      <c r="G38" s="25" t="n">
        <f aca="false">SUMIF($B$18:$B$28,B38,$K$18:$K$28)</f>
        <v>56744.64</v>
      </c>
      <c r="H38" s="25" t="n">
        <f aca="false">SUMIF($B$18:$B$28,B38,$L$18:$L$28)</f>
        <v>680935.68</v>
      </c>
      <c r="I38" s="21" t="n">
        <f aca="false">SUMIF($B$18:$B$28,B38,$N$18:$N$28)</f>
        <v>2.7816</v>
      </c>
      <c r="J38" s="21" t="n">
        <f aca="false">I38-E38</f>
        <v>0</v>
      </c>
      <c r="K38" s="22" t="n">
        <f aca="false">IF(E38=0,0,J38/E38)</f>
        <v>0</v>
      </c>
    </row>
    <row r="39" customFormat="false" ht="15" hidden="false" customHeight="false" outlineLevel="0" collapsed="false">
      <c r="A39" s="13" t="n">
        <v>7</v>
      </c>
      <c r="B39" s="27" t="str">
        <f aca="false">'Supplier Profile'!C13</f>
        <v>FrictionTech Co.</v>
      </c>
      <c r="C39" s="5" t="str">
        <f aca="false">INDEX($C$18:$C$28,MATCH(B39,$B$18:$B$28,0))</f>
        <v>Japan</v>
      </c>
      <c r="D39" s="30" t="n">
        <f aca="false">COUNTIF($B$18:$B$28,B39)</f>
        <v>1</v>
      </c>
      <c r="E39" s="21" t="n">
        <f aca="false">SUMIF($B$18:$B$28,B39,$I$18:$I$28)</f>
        <v>20.946</v>
      </c>
      <c r="F39" s="22" t="n">
        <f aca="false">IF($E$40=0,0,E39/$E$40)</f>
        <v>0.0747004279600571</v>
      </c>
      <c r="G39" s="25" t="n">
        <f aca="false">SUMIF($B$18:$B$28,B39,$K$18:$K$28)</f>
        <v>427298.4</v>
      </c>
      <c r="H39" s="25" t="n">
        <f aca="false">SUMIF($B$18:$B$28,B39,$L$18:$L$28)</f>
        <v>5127580.8</v>
      </c>
      <c r="I39" s="21" t="n">
        <f aca="false">SUMIF($B$18:$B$28,B39,$N$18:$N$28)</f>
        <v>20.946</v>
      </c>
      <c r="J39" s="21" t="n">
        <f aca="false">I39-E39</f>
        <v>0</v>
      </c>
      <c r="K39" s="22" t="n">
        <f aca="false">IF(E39=0,0,J39/E39)</f>
        <v>0</v>
      </c>
    </row>
    <row r="40" customFormat="false" ht="15" hidden="false" customHeight="false" outlineLevel="0" collapsed="false">
      <c r="A40" s="32"/>
      <c r="B40" s="33" t="s">
        <v>61</v>
      </c>
      <c r="C40" s="32"/>
      <c r="D40" s="37" t="n">
        <f aca="false">SUM(D33:D39)</f>
        <v>11</v>
      </c>
      <c r="E40" s="34" t="n">
        <f aca="false">SUM(E33:E39)</f>
        <v>280.4</v>
      </c>
      <c r="F40" s="35" t="n">
        <f aca="false">SUM(F33:F39)</f>
        <v>1</v>
      </c>
      <c r="G40" s="36" t="n">
        <f aca="false">SUM(G33:G39)</f>
        <v>5720160</v>
      </c>
      <c r="H40" s="36" t="n">
        <f aca="false">SUM(H33:H39)</f>
        <v>68641920</v>
      </c>
      <c r="I40" s="34" t="n">
        <f aca="false">SUM(I33:I39)</f>
        <v>280.4</v>
      </c>
      <c r="J40" s="34" t="n">
        <f aca="false">SUM(J33:J39)</f>
        <v>0</v>
      </c>
      <c r="K40" s="35" t="n">
        <f aca="false">IF(E40=0,0,J40/E40)</f>
        <v>0</v>
      </c>
      <c r="L40" s="32"/>
      <c r="M40" s="32"/>
      <c r="N40" s="32"/>
      <c r="O40" s="32"/>
      <c r="P40" s="32"/>
    </row>
    <row r="42" customFormat="false" ht="15" hidden="false" customHeight="false" outlineLevel="0" collapsed="false">
      <c r="A42" s="4" t="s">
        <v>190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customFormat="false" ht="42" hidden="false" customHeight="true" outlineLevel="0" collapsed="false">
      <c r="A43" s="18" t="s">
        <v>52</v>
      </c>
      <c r="B43" s="18" t="s">
        <v>68</v>
      </c>
      <c r="C43" s="18" t="s">
        <v>65</v>
      </c>
      <c r="D43" s="18"/>
      <c r="E43" s="18" t="s">
        <v>75</v>
      </c>
      <c r="F43" s="18" t="s">
        <v>175</v>
      </c>
      <c r="G43" s="18" t="s">
        <v>184</v>
      </c>
      <c r="H43" s="18" t="s">
        <v>185</v>
      </c>
      <c r="I43" s="18" t="s">
        <v>156</v>
      </c>
      <c r="J43" s="18" t="s">
        <v>60</v>
      </c>
      <c r="K43" s="18" t="s">
        <v>189</v>
      </c>
    </row>
    <row r="44" customFormat="false" ht="15" hidden="false" customHeight="false" outlineLevel="0" collapsed="false">
      <c r="A44" s="13" t="n">
        <v>1</v>
      </c>
      <c r="B44" s="27" t="str">
        <f aca="false">'Supplier Profile'!D3</f>
        <v>Japan</v>
      </c>
      <c r="C44" s="30" t="n">
        <f aca="false">COUNTIF($C$33:$C$39,B44)</f>
        <v>3</v>
      </c>
      <c r="E44" s="21" t="n">
        <f aca="false">SUMIF($C$18:$C$28,B44,$I$18:$I$28)</f>
        <v>180.342279683539</v>
      </c>
      <c r="F44" s="22" t="n">
        <f aca="false">IF($E$47=0,0,E44/$E$47)</f>
        <v>0.643160769199499</v>
      </c>
      <c r="G44" s="25" t="n">
        <f aca="false">SUMIF($C$18:$C$28,B44,$K$18:$K$28)</f>
        <v>3678982.5055442</v>
      </c>
      <c r="H44" s="25" t="n">
        <f aca="false">SUMIF($C$18:$C$28,B44,$L$18:$L$28)</f>
        <v>44147790.0665305</v>
      </c>
      <c r="I44" s="21" t="n">
        <f aca="false">SUMIF($C$18:$C$28,B44,$N$18:$N$28)</f>
        <v>180.342279683539</v>
      </c>
      <c r="J44" s="21" t="n">
        <f aca="false">I44-E44</f>
        <v>0</v>
      </c>
      <c r="K44" s="22" t="n">
        <f aca="false">IF(E44=0,0,J44/E44)</f>
        <v>0</v>
      </c>
    </row>
    <row r="45" customFormat="false" ht="15" hidden="false" customHeight="false" outlineLevel="0" collapsed="false">
      <c r="A45" s="13" t="n">
        <v>2</v>
      </c>
      <c r="B45" s="27" t="str">
        <f aca="false">'Supplier Profile'!D5</f>
        <v>South Korea</v>
      </c>
      <c r="C45" s="30" t="n">
        <f aca="false">COUNTIF($C$33:$C$39,B45)</f>
        <v>1</v>
      </c>
      <c r="E45" s="21" t="n">
        <f aca="false">SUMIF($C$18:$C$28,B45,$I$18:$I$28)</f>
        <v>73.5641203164606</v>
      </c>
      <c r="F45" s="22" t="n">
        <f aca="false">IF($E$47=0,0,E45/$E$47)</f>
        <v>0.262354209402498</v>
      </c>
      <c r="G45" s="25" t="n">
        <f aca="false">SUMIF($C$18:$C$28,B45,$K$18:$K$28)</f>
        <v>1500708.0544558</v>
      </c>
      <c r="H45" s="25" t="n">
        <f aca="false">SUMIF($C$18:$C$28,B45,$L$18:$L$28)</f>
        <v>18008496.6534695</v>
      </c>
      <c r="I45" s="21" t="n">
        <f aca="false">SUMIF($C$18:$C$28,B45,$N$18:$N$28)</f>
        <v>73.5641203164606</v>
      </c>
      <c r="J45" s="21" t="n">
        <f aca="false">I45-E45</f>
        <v>0</v>
      </c>
      <c r="K45" s="22" t="n">
        <f aca="false">IF(E45=0,0,J45/E45)</f>
        <v>0</v>
      </c>
    </row>
    <row r="46" customFormat="false" ht="15" hidden="false" customHeight="false" outlineLevel="0" collapsed="false">
      <c r="A46" s="13" t="n">
        <v>3</v>
      </c>
      <c r="B46" s="27" t="str">
        <f aca="false">'Supplier Profile'!D6</f>
        <v>Vietnam</v>
      </c>
      <c r="C46" s="30" t="n">
        <f aca="false">COUNTIF($C$33:$C$39,B46)</f>
        <v>3</v>
      </c>
      <c r="E46" s="21" t="n">
        <f aca="false">SUMIF($C$18:$C$28,B46,$I$18:$I$28)</f>
        <v>26.4936</v>
      </c>
      <c r="F46" s="22" t="n">
        <f aca="false">IF($E$47=0,0,E46/$E$47)</f>
        <v>0.0944850213980029</v>
      </c>
      <c r="G46" s="25" t="n">
        <f aca="false">SUMIF($C$18:$C$28,B46,$K$18:$K$28)</f>
        <v>540469.44</v>
      </c>
      <c r="H46" s="25" t="n">
        <f aca="false">SUMIF($C$18:$C$28,B46,$L$18:$L$28)</f>
        <v>6485633.28</v>
      </c>
      <c r="I46" s="21" t="n">
        <f aca="false">SUMIF($C$18:$C$28,B46,$N$18:$N$28)</f>
        <v>26.4936</v>
      </c>
      <c r="J46" s="21" t="n">
        <f aca="false">I46-E46</f>
        <v>0</v>
      </c>
      <c r="K46" s="22" t="n">
        <f aca="false">IF(E46=0,0,J46/E46)</f>
        <v>0</v>
      </c>
    </row>
    <row r="47" customFormat="false" ht="15" hidden="false" customHeight="false" outlineLevel="0" collapsed="false">
      <c r="A47" s="32"/>
      <c r="B47" s="33" t="s">
        <v>61</v>
      </c>
      <c r="C47" s="37" t="n">
        <f aca="false">SUM(C44:C46)</f>
        <v>7</v>
      </c>
      <c r="D47" s="32"/>
      <c r="E47" s="34" t="n">
        <f aca="false">SUM(E44:E46)</f>
        <v>280.4</v>
      </c>
      <c r="F47" s="35" t="n">
        <f aca="false">SUM(F44:F46)</f>
        <v>1</v>
      </c>
      <c r="G47" s="36" t="n">
        <f aca="false">SUM(G44:G46)</f>
        <v>5720160</v>
      </c>
      <c r="H47" s="36" t="n">
        <f aca="false">SUM(H44:H46)</f>
        <v>68641920</v>
      </c>
      <c r="I47" s="34" t="n">
        <f aca="false">SUM(I44:I46)</f>
        <v>280.4</v>
      </c>
      <c r="J47" s="34" t="n">
        <f aca="false">SUM(J44:J46)</f>
        <v>0</v>
      </c>
      <c r="K47" s="35" t="n">
        <f aca="false">IF(E47=0,0,J47/E47)</f>
        <v>0</v>
      </c>
      <c r="L47" s="32"/>
      <c r="M47" s="32"/>
      <c r="N47" s="32"/>
      <c r="O47" s="32"/>
      <c r="P47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L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1" min="10" style="0" width="14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6" t="s">
        <v>191</v>
      </c>
    </row>
    <row r="2" customFormat="false" ht="15" hidden="false" customHeight="false" outlineLevel="0" collapsed="false">
      <c r="A2" s="3" t="s">
        <v>192</v>
      </c>
    </row>
    <row r="4" customFormat="false" ht="42" hidden="false" customHeight="true" outlineLevel="0" collapsed="false">
      <c r="A4" s="18" t="s">
        <v>193</v>
      </c>
      <c r="B4" s="18" t="s">
        <v>194</v>
      </c>
      <c r="C4" s="18" t="s">
        <v>195</v>
      </c>
      <c r="D4" s="18" t="s">
        <v>196</v>
      </c>
      <c r="E4" s="18" t="s">
        <v>197</v>
      </c>
      <c r="F4" s="18" t="s">
        <v>198</v>
      </c>
      <c r="G4" s="18" t="s">
        <v>199</v>
      </c>
      <c r="H4" s="18" t="s">
        <v>200</v>
      </c>
      <c r="I4" s="18" t="s">
        <v>201</v>
      </c>
      <c r="J4" s="18" t="s">
        <v>202</v>
      </c>
      <c r="K4" s="18" t="s">
        <v>203</v>
      </c>
      <c r="L4" s="18" t="s">
        <v>204</v>
      </c>
    </row>
    <row r="5" customFormat="false" ht="15" hidden="false" customHeight="false" outlineLevel="0" collapsed="false">
      <c r="A5" s="12" t="str">
        <f aca="false">'Factory Information'!A3</f>
        <v>L0</v>
      </c>
      <c r="B5" s="27" t="str">
        <f aca="false">'Factory Information'!B3</f>
        <v>FB_SET_001</v>
      </c>
      <c r="C5" s="27" t="str">
        <f aca="false">'Factory Information'!C3</f>
        <v>Front Brake Assembly</v>
      </c>
      <c r="D5" s="60" t="n">
        <v>1</v>
      </c>
      <c r="E5" s="23" t="n">
        <f aca="false">D5*Assumptions!$C$15</f>
        <v>20400</v>
      </c>
      <c r="F5" s="23" t="n">
        <f aca="false">'Factory Information'!E3</f>
        <v>24000</v>
      </c>
      <c r="G5" s="40" t="n">
        <f aca="false">'Factory Information'!G3</f>
        <v>0.85</v>
      </c>
      <c r="H5" s="24" t="n">
        <f aca="false">F5*G5</f>
        <v>20400</v>
      </c>
      <c r="I5" s="40" t="n">
        <f aca="false">'Factory Information'!F3</f>
        <v>0.85</v>
      </c>
      <c r="J5" s="22" t="n">
        <f aca="false">IF(E5=0,0,H5/E5)</f>
        <v>1</v>
      </c>
      <c r="K5" s="24" t="n">
        <f aca="false">IF(D5=0,0,H5/D5)</f>
        <v>20400</v>
      </c>
      <c r="L5" s="13" t="str">
        <f aca="false">IF(J5&gt;=1,"OK","Shortfall")</f>
        <v>OK</v>
      </c>
    </row>
    <row r="6" customFormat="false" ht="15" hidden="false" customHeight="false" outlineLevel="0" collapsed="false">
      <c r="A6" s="12" t="str">
        <f aca="false">'Factory Information'!A4</f>
        <v>L1</v>
      </c>
      <c r="B6" s="27" t="str">
        <f aca="false">'Factory Information'!B4</f>
        <v>FB-008</v>
      </c>
      <c r="C6" s="27" t="str">
        <f aca="false">'Factory Information'!C4</f>
        <v>Rotor Disc Brake</v>
      </c>
      <c r="D6" s="28" t="n">
        <f aca="false">SUMIF('BOM Cost Build-up'!$B$6:$B$21,'Factory Information'!B4,'BOM Cost Build-up'!$D$6:$D$21)</f>
        <v>2</v>
      </c>
      <c r="E6" s="23" t="n">
        <f aca="false">D6*Assumptions!$C$15</f>
        <v>40800</v>
      </c>
      <c r="F6" s="23" t="n">
        <f aca="false">'Factory Information'!E4</f>
        <v>24000</v>
      </c>
      <c r="G6" s="40" t="n">
        <f aca="false">'Factory Information'!G4</f>
        <v>0.85</v>
      </c>
      <c r="H6" s="24" t="n">
        <f aca="false">F6*G6</f>
        <v>20400</v>
      </c>
      <c r="I6" s="40" t="n">
        <f aca="false">'Factory Information'!F4</f>
        <v>0.85</v>
      </c>
      <c r="J6" s="22" t="n">
        <f aca="false">IF(E6=0,0,H6/E6)</f>
        <v>0.5</v>
      </c>
      <c r="K6" s="24" t="n">
        <f aca="false">IF(D6=0,0,H6/D6)</f>
        <v>10200</v>
      </c>
      <c r="L6" s="13" t="str">
        <f aca="false">IF(J6&gt;=1,"OK","Shortfall")</f>
        <v>Shortfall</v>
      </c>
    </row>
    <row r="7" customFormat="false" ht="15" hidden="false" customHeight="false" outlineLevel="0" collapsed="false">
      <c r="A7" s="12" t="str">
        <f aca="false">'Factory Information'!A5</f>
        <v>L2</v>
      </c>
      <c r="B7" s="27" t="str">
        <f aca="false">'Factory Information'!B5&amp;" / "&amp;'Factory Information'!B6</f>
        <v>FB-001 / FB-002</v>
      </c>
      <c r="C7" s="27" t="str">
        <f aca="false">'Factory Information'!C5&amp;" / "&amp;'Factory Information'!C6</f>
        <v>Hose Caliper Front LH / Hose Caliper Front RH</v>
      </c>
      <c r="D7" s="28" t="n">
        <f aca="false">SUMIF('BOM Cost Build-up'!$B$6:$B$21,'Factory Information'!B5,'BOM Cost Build-up'!$D$6:$D$21)+SUMIF('BOM Cost Build-up'!$B$6:$B$21,'Factory Information'!B6,'BOM Cost Build-up'!$D$6:$D$21)</f>
        <v>2</v>
      </c>
      <c r="E7" s="23" t="n">
        <f aca="false">D7*Assumptions!$C$15</f>
        <v>40800</v>
      </c>
      <c r="F7" s="23" t="n">
        <f aca="false">'Factory Information'!E5</f>
        <v>30000</v>
      </c>
      <c r="G7" s="40" t="n">
        <f aca="false">'Factory Information'!G5</f>
        <v>0.87</v>
      </c>
      <c r="H7" s="24" t="n">
        <f aca="false">F7*G7</f>
        <v>26100</v>
      </c>
      <c r="I7" s="40" t="n">
        <f aca="false">'Factory Information'!F5</f>
        <v>0.85</v>
      </c>
      <c r="J7" s="22" t="n">
        <f aca="false">IF(E7=0,0,H7/E7)</f>
        <v>0.639705882352941</v>
      </c>
      <c r="K7" s="24" t="n">
        <f aca="false">IF(D7=0,0,H7/D7)</f>
        <v>13050</v>
      </c>
      <c r="L7" s="13" t="str">
        <f aca="false">IF(J7&gt;=1,"OK","Shortfall")</f>
        <v>Shortfall</v>
      </c>
    </row>
    <row r="8" customFormat="false" ht="15" hidden="false" customHeight="false" outlineLevel="0" collapsed="false">
      <c r="A8" s="12" t="str">
        <f aca="false">'Factory Information'!A7</f>
        <v>L3</v>
      </c>
      <c r="B8" s="27" t="str">
        <f aca="false">'Factory Information'!B7</f>
        <v>FB-005</v>
      </c>
      <c r="C8" s="27" t="str">
        <f aca="false">'Factory Information'!C7</f>
        <v>Stainless Brake Lines</v>
      </c>
      <c r="D8" s="28" t="n">
        <f aca="false">SUMIF('BOM Cost Build-up'!$B$6:$B$21,'Factory Information'!B7,'BOM Cost Build-up'!$D$6:$D$21)</f>
        <v>2</v>
      </c>
      <c r="E8" s="23" t="n">
        <f aca="false">D8*Assumptions!$C$15</f>
        <v>40800</v>
      </c>
      <c r="F8" s="23" t="n">
        <f aca="false">'Factory Information'!E7</f>
        <v>34000</v>
      </c>
      <c r="G8" s="40" t="n">
        <f aca="false">'Factory Information'!G7</f>
        <v>0.88</v>
      </c>
      <c r="H8" s="24" t="n">
        <f aca="false">F8*G8</f>
        <v>29920</v>
      </c>
      <c r="I8" s="40" t="n">
        <f aca="false">'Factory Information'!F7</f>
        <v>0.85</v>
      </c>
      <c r="J8" s="22" t="n">
        <f aca="false">IF(E8=0,0,H8/E8)</f>
        <v>0.733333333333333</v>
      </c>
      <c r="K8" s="24" t="n">
        <f aca="false">IF(D8=0,0,H8/D8)</f>
        <v>14960</v>
      </c>
      <c r="L8" s="13" t="str">
        <f aca="false">IF(J8&gt;=1,"OK","Shortfall")</f>
        <v>Shortfall</v>
      </c>
    </row>
    <row r="9" customFormat="false" ht="15" hidden="false" customHeight="false" outlineLevel="0" collapsed="false">
      <c r="A9" s="12" t="str">
        <f aca="false">'Factory Information'!A8</f>
        <v>L4</v>
      </c>
      <c r="B9" s="27" t="str">
        <f aca="false">'Factory Information'!B8</f>
        <v>FB-016</v>
      </c>
      <c r="C9" s="27" t="str">
        <f aca="false">'Factory Information'!C8</f>
        <v>Tube Hyd Front Distribution</v>
      </c>
      <c r="D9" s="28" t="n">
        <f aca="false">SUMIF('BOM Cost Build-up'!$B$6:$B$21,'Factory Information'!B8,'BOM Cost Build-up'!$D$6:$D$21)</f>
        <v>1</v>
      </c>
      <c r="E9" s="23" t="n">
        <f aca="false">D9*Assumptions!$C$15</f>
        <v>20400</v>
      </c>
      <c r="F9" s="23" t="n">
        <f aca="false">'Factory Information'!E8</f>
        <v>45000</v>
      </c>
      <c r="G9" s="40" t="n">
        <f aca="false">'Factory Information'!G8</f>
        <v>0.87</v>
      </c>
      <c r="H9" s="24" t="n">
        <f aca="false">F9*G9</f>
        <v>39150</v>
      </c>
      <c r="I9" s="40" t="n">
        <f aca="false">'Factory Information'!F8</f>
        <v>0.86</v>
      </c>
      <c r="J9" s="22" t="n">
        <f aca="false">IF(E9=0,0,H9/E9)</f>
        <v>1.91911764705882</v>
      </c>
      <c r="K9" s="24" t="n">
        <f aca="false">IF(D9=0,0,H9/D9)</f>
        <v>39150</v>
      </c>
      <c r="L9" s="13" t="str">
        <f aca="false">IF(J9&gt;=1,"OK","Shortfall")</f>
        <v>OK</v>
      </c>
    </row>
    <row r="10" customFormat="false" ht="15" hidden="false" customHeight="false" outlineLevel="0" collapsed="false">
      <c r="A10" s="12" t="str">
        <f aca="false">'Factory Information'!A9</f>
        <v>L5</v>
      </c>
      <c r="B10" s="27" t="str">
        <f aca="false">'Factory Information'!B9&amp;" / "&amp;'Factory Information'!B10</f>
        <v>FB-006 / FB-007</v>
      </c>
      <c r="C10" s="27" t="str">
        <f aca="false">'Factory Information'!C9&amp;" / "&amp;'Factory Information'!C10</f>
        <v>Caliper Disc Front LH / Caliper Disc Front RH</v>
      </c>
      <c r="D10" s="28" t="n">
        <f aca="false">SUMIF('BOM Cost Build-up'!$B$6:$B$21,'Factory Information'!B9,'BOM Cost Build-up'!$D$6:$D$21)+SUMIF('BOM Cost Build-up'!$B$6:$B$21,'Factory Information'!B10,'BOM Cost Build-up'!$D$6:$D$21)</f>
        <v>2</v>
      </c>
      <c r="E10" s="23" t="n">
        <f aca="false">D10*Assumptions!$C$15</f>
        <v>40800</v>
      </c>
      <c r="F10" s="23" t="n">
        <f aca="false">'Factory Information'!E9</f>
        <v>30000</v>
      </c>
      <c r="G10" s="40" t="n">
        <f aca="false">'Factory Information'!G9</f>
        <v>0.86</v>
      </c>
      <c r="H10" s="24" t="n">
        <f aca="false">F10*G10</f>
        <v>25800</v>
      </c>
      <c r="I10" s="40" t="n">
        <f aca="false">'Factory Information'!F9</f>
        <v>0.9</v>
      </c>
      <c r="J10" s="22" t="n">
        <f aca="false">IF(E10=0,0,H10/E10)</f>
        <v>0.632352941176471</v>
      </c>
      <c r="K10" s="24" t="n">
        <f aca="false">IF(D10=0,0,H10/D10)</f>
        <v>12900</v>
      </c>
      <c r="L10" s="13" t="str">
        <f aca="false">IF(J10&gt;=1,"OK","Shortfall")</f>
        <v>Shortfall</v>
      </c>
    </row>
    <row r="11" customFormat="false" ht="15" hidden="false" customHeight="false" outlineLevel="0" collapsed="false">
      <c r="A11" s="12" t="str">
        <f aca="false">'Factory Information'!A11</f>
        <v>L6</v>
      </c>
      <c r="B11" s="27" t="str">
        <f aca="false">'Factory Information'!B11</f>
        <v>FB-009</v>
      </c>
      <c r="C11" s="27" t="str">
        <f aca="false">'Factory Information'!C11</f>
        <v>Bearing Inner Wheel</v>
      </c>
      <c r="D11" s="28" t="n">
        <f aca="false">SUMIF('BOM Cost Build-up'!$B$6:$B$21,'Factory Information'!B11,'BOM Cost Build-up'!$D$6:$D$21)</f>
        <v>2</v>
      </c>
      <c r="E11" s="23" t="n">
        <f aca="false">D11*Assumptions!$C$15</f>
        <v>40800</v>
      </c>
      <c r="F11" s="23" t="n">
        <f aca="false">'Factory Information'!E11</f>
        <v>35000</v>
      </c>
      <c r="G11" s="40" t="n">
        <f aca="false">'Factory Information'!G11</f>
        <v>0.85</v>
      </c>
      <c r="H11" s="24" t="n">
        <f aca="false">F11*G11</f>
        <v>29750</v>
      </c>
      <c r="I11" s="40" t="n">
        <f aca="false">'Factory Information'!F11</f>
        <v>0.87</v>
      </c>
      <c r="J11" s="22" t="n">
        <f aca="false">IF(E11=0,0,H11/E11)</f>
        <v>0.729166666666667</v>
      </c>
      <c r="K11" s="24" t="n">
        <f aca="false">IF(D11=0,0,H11/D11)</f>
        <v>14875</v>
      </c>
      <c r="L11" s="13" t="str">
        <f aca="false">IF(J11&gt;=1,"OK","Shortfall")</f>
        <v>Shortfall</v>
      </c>
    </row>
    <row r="12" customFormat="false" ht="15" hidden="false" customHeight="false" outlineLevel="0" collapsed="false">
      <c r="A12" s="12" t="str">
        <f aca="false">'Factory Information'!A12</f>
        <v>L7</v>
      </c>
      <c r="B12" s="27" t="str">
        <f aca="false">'Factory Information'!B12</f>
        <v>FB-010</v>
      </c>
      <c r="C12" s="27" t="str">
        <f aca="false">'Factory Information'!C12</f>
        <v>Bearing Outer Wheel</v>
      </c>
      <c r="D12" s="28" t="n">
        <f aca="false">SUMIF('BOM Cost Build-up'!$B$6:$B$21,'Factory Information'!B12,'BOM Cost Build-up'!$D$6:$D$21)</f>
        <v>2</v>
      </c>
      <c r="E12" s="23" t="n">
        <f aca="false">D12*Assumptions!$C$15</f>
        <v>40800</v>
      </c>
      <c r="F12" s="23" t="n">
        <f aca="false">'Factory Information'!E12</f>
        <v>35000</v>
      </c>
      <c r="G12" s="40" t="n">
        <f aca="false">'Factory Information'!G12</f>
        <v>0.86</v>
      </c>
      <c r="H12" s="24" t="n">
        <f aca="false">F12*G12</f>
        <v>30100</v>
      </c>
      <c r="I12" s="40" t="n">
        <f aca="false">'Factory Information'!F12</f>
        <v>0.87</v>
      </c>
      <c r="J12" s="22" t="n">
        <f aca="false">IF(E12=0,0,H12/E12)</f>
        <v>0.737745098039216</v>
      </c>
      <c r="K12" s="24" t="n">
        <f aca="false">IF(D12=0,0,H12/D12)</f>
        <v>15050</v>
      </c>
      <c r="L12" s="13" t="str">
        <f aca="false">IF(J12&gt;=1,"OK","Shortfall")</f>
        <v>Shortfall</v>
      </c>
    </row>
    <row r="13" customFormat="false" ht="15" hidden="false" customHeight="false" outlineLevel="0" collapsed="false">
      <c r="A13" s="12" t="str">
        <f aca="false">'Factory Information'!A13</f>
        <v>L8</v>
      </c>
      <c r="B13" s="27" t="str">
        <f aca="false">'Factory Information'!B13</f>
        <v>FB-003</v>
      </c>
      <c r="C13" s="27" t="str">
        <f aca="false">'Factory Information'!C13</f>
        <v>Seal - Brass Hydraulic</v>
      </c>
      <c r="D13" s="28" t="n">
        <f aca="false">SUMIF('BOM Cost Build-up'!$B$6:$B$21,'Factory Information'!B13,'BOM Cost Build-up'!$D$6:$D$21)</f>
        <v>4</v>
      </c>
      <c r="E13" s="23" t="n">
        <f aca="false">D13*Assumptions!$C$15</f>
        <v>81600</v>
      </c>
      <c r="F13" s="23" t="n">
        <f aca="false">'Factory Information'!E13</f>
        <v>57000</v>
      </c>
      <c r="G13" s="40" t="n">
        <f aca="false">'Factory Information'!G13</f>
        <v>0.9</v>
      </c>
      <c r="H13" s="24" t="n">
        <f aca="false">F13*G13</f>
        <v>51300</v>
      </c>
      <c r="I13" s="40" t="n">
        <f aca="false">'Factory Information'!F13</f>
        <v>0.88</v>
      </c>
      <c r="J13" s="22" t="n">
        <f aca="false">IF(E13=0,0,H13/E13)</f>
        <v>0.628676470588235</v>
      </c>
      <c r="K13" s="24" t="n">
        <f aca="false">IF(D13=0,0,H13/D13)</f>
        <v>12825</v>
      </c>
      <c r="L13" s="13" t="str">
        <f aca="false">IF(J13&gt;=1,"OK","Shortfall")</f>
        <v>Shortfall</v>
      </c>
    </row>
    <row r="14" customFormat="false" ht="15" hidden="false" customHeight="false" outlineLevel="0" collapsed="false">
      <c r="A14" s="12" t="str">
        <f aca="false">'Factory Information'!A14</f>
        <v>L9</v>
      </c>
      <c r="B14" s="27" t="str">
        <f aca="false">'Factory Information'!B14</f>
        <v>FB-004</v>
      </c>
      <c r="C14" s="27" t="str">
        <f aca="false">'Factory Information'!C14</f>
        <v>Retain Clip Hose Frame Attach</v>
      </c>
      <c r="D14" s="28" t="n">
        <f aca="false">SUMIF('BOM Cost Build-up'!$B$6:$B$21,'Factory Information'!B14,'BOM Cost Build-up'!$D$6:$D$21)</f>
        <v>2</v>
      </c>
      <c r="E14" s="23" t="n">
        <f aca="false">D14*Assumptions!$C$15</f>
        <v>40800</v>
      </c>
      <c r="F14" s="23" t="n">
        <f aca="false">'Factory Information'!E14</f>
        <v>100000</v>
      </c>
      <c r="G14" s="40" t="n">
        <f aca="false">'Factory Information'!G14</f>
        <v>0.9</v>
      </c>
      <c r="H14" s="24" t="n">
        <f aca="false">F14*G14</f>
        <v>90000</v>
      </c>
      <c r="I14" s="40" t="n">
        <f aca="false">'Factory Information'!F14</f>
        <v>0.85</v>
      </c>
      <c r="J14" s="22" t="n">
        <f aca="false">IF(E14=0,0,H14/E14)</f>
        <v>2.20588235294118</v>
      </c>
      <c r="K14" s="24" t="n">
        <f aca="false">IF(D14=0,0,H14/D14)</f>
        <v>45000</v>
      </c>
      <c r="L14" s="13" t="str">
        <f aca="false">IF(J14&gt;=1,"OK","Shortfall")</f>
        <v>OK</v>
      </c>
    </row>
    <row r="15" customFormat="false" ht="15" hidden="false" customHeight="false" outlineLevel="0" collapsed="false">
      <c r="A15" s="12" t="str">
        <f aca="false">'Factory Information'!A15</f>
        <v>L10</v>
      </c>
      <c r="B15" s="27" t="str">
        <f aca="false">'Factory Information'!B15</f>
        <v>FB-014</v>
      </c>
      <c r="C15" s="27" t="str">
        <f aca="false">'Factory Information'!C15</f>
        <v>Cap Dust</v>
      </c>
      <c r="D15" s="28" t="n">
        <f aca="false">SUMIF('BOM Cost Build-up'!$B$6:$B$21,'Factory Information'!B15,'BOM Cost Build-up'!$D$6:$D$21)</f>
        <v>2</v>
      </c>
      <c r="E15" s="23" t="n">
        <f aca="false">D15*Assumptions!$C$15</f>
        <v>40800</v>
      </c>
      <c r="F15" s="23" t="n">
        <f aca="false">'Factory Information'!E15</f>
        <v>84000</v>
      </c>
      <c r="G15" s="40" t="n">
        <f aca="false">'Factory Information'!G15</f>
        <v>0.9</v>
      </c>
      <c r="H15" s="24" t="n">
        <f aca="false">F15*G15</f>
        <v>75600</v>
      </c>
      <c r="I15" s="40" t="n">
        <f aca="false">'Factory Information'!F15</f>
        <v>0.91</v>
      </c>
      <c r="J15" s="22" t="n">
        <f aca="false">IF(E15=0,0,H15/E15)</f>
        <v>1.85294117647059</v>
      </c>
      <c r="K15" s="24" t="n">
        <f aca="false">IF(D15=0,0,H15/D15)</f>
        <v>37800</v>
      </c>
      <c r="L15" s="13" t="str">
        <f aca="false">IF(J15&gt;=1,"OK","Shortfall")</f>
        <v>OK</v>
      </c>
    </row>
    <row r="16" customFormat="false" ht="15" hidden="false" customHeight="false" outlineLevel="0" collapsed="false">
      <c r="A16" s="12" t="str">
        <f aca="false">'Factory Information'!A16</f>
        <v>L11</v>
      </c>
      <c r="B16" s="27" t="str">
        <f aca="false">'Factory Information'!B16</f>
        <v>FB-015</v>
      </c>
      <c r="C16" s="27" t="str">
        <f aca="false">'Factory Information'!C16</f>
        <v>Pads - Disc Kit</v>
      </c>
      <c r="D16" s="28" t="n">
        <f aca="false">SUMIF('BOM Cost Build-up'!$B$6:$B$21,'Factory Information'!B16,'BOM Cost Build-up'!$D$6:$D$21)</f>
        <v>1</v>
      </c>
      <c r="E16" s="23" t="n">
        <f aca="false">D16*Assumptions!$C$15</f>
        <v>20400</v>
      </c>
      <c r="F16" s="23" t="n">
        <f aca="false">'Factory Information'!E16</f>
        <v>33000</v>
      </c>
      <c r="G16" s="40" t="n">
        <f aca="false">'Factory Information'!G16</f>
        <v>0.85</v>
      </c>
      <c r="H16" s="24" t="n">
        <f aca="false">F16*G16</f>
        <v>28050</v>
      </c>
      <c r="I16" s="40" t="n">
        <f aca="false">'Factory Information'!F16</f>
        <v>0.9</v>
      </c>
      <c r="J16" s="22" t="n">
        <f aca="false">IF(E16=0,0,H16/E16)</f>
        <v>1.375</v>
      </c>
      <c r="K16" s="24" t="n">
        <f aca="false">IF(D16=0,0,H16/D16)</f>
        <v>28050</v>
      </c>
      <c r="L16" s="13" t="str">
        <f aca="false">IF(J16&gt;=1,"OK","Shortfall")</f>
        <v>OK</v>
      </c>
    </row>
    <row r="17" customFormat="false" ht="15" hidden="false" customHeight="false" outlineLevel="0" collapsed="false">
      <c r="A17" s="12" t="str">
        <f aca="false">'Factory Information'!A17</f>
        <v>L12</v>
      </c>
      <c r="B17" s="27" t="str">
        <f aca="false">'Factory Information'!B17</f>
        <v>FB-011</v>
      </c>
      <c r="C17" s="27" t="str">
        <f aca="false">'Factory Information'!C17</f>
        <v>Washer Retainer Outer Bearing</v>
      </c>
      <c r="D17" s="28" t="n">
        <f aca="false">SUMIF('BOM Cost Build-up'!$B$6:$B$21,'Factory Information'!B17,'BOM Cost Build-up'!$D$6:$D$21)</f>
        <v>2</v>
      </c>
      <c r="E17" s="23" t="n">
        <f aca="false">D17*Assumptions!$C$15</f>
        <v>40800</v>
      </c>
      <c r="F17" s="23" t="n">
        <f aca="false">'Factory Information'!E17</f>
        <v>98000</v>
      </c>
      <c r="G17" s="40" t="n">
        <f aca="false">'Factory Information'!G17</f>
        <v>0.88</v>
      </c>
      <c r="H17" s="24" t="n">
        <f aca="false">F17*G17</f>
        <v>86240</v>
      </c>
      <c r="I17" s="40" t="n">
        <f aca="false">'Factory Information'!F17</f>
        <v>0.9</v>
      </c>
      <c r="J17" s="22" t="n">
        <f aca="false">IF(E17=0,0,H17/E17)</f>
        <v>2.11372549019608</v>
      </c>
      <c r="K17" s="24" t="n">
        <f aca="false">IF(D17=0,0,H17/D17)</f>
        <v>43120</v>
      </c>
      <c r="L17" s="13" t="str">
        <f aca="false">IF(J17&gt;=1,"OK","Shortfall")</f>
        <v>OK</v>
      </c>
    </row>
    <row r="18" customFormat="false" ht="15" hidden="false" customHeight="false" outlineLevel="0" collapsed="false">
      <c r="A18" s="12" t="str">
        <f aca="false">'Factory Information'!A18</f>
        <v>L13</v>
      </c>
      <c r="B18" s="27" t="str">
        <f aca="false">'Factory Information'!B18</f>
        <v>FB-012</v>
      </c>
      <c r="C18" s="27" t="str">
        <f aca="false">'Factory Information'!C18</f>
        <v>Cotter Key</v>
      </c>
      <c r="D18" s="28" t="n">
        <f aca="false">SUMIF('BOM Cost Build-up'!$B$6:$B$21,'Factory Information'!B18,'BOM Cost Build-up'!$D$6:$D$21)</f>
        <v>2</v>
      </c>
      <c r="E18" s="23" t="n">
        <f aca="false">D18*Assumptions!$C$15</f>
        <v>40800</v>
      </c>
      <c r="F18" s="23" t="n">
        <f aca="false">'Factory Information'!E18</f>
        <v>140000</v>
      </c>
      <c r="G18" s="40" t="n">
        <f aca="false">'Factory Information'!G18</f>
        <v>0.9</v>
      </c>
      <c r="H18" s="24" t="n">
        <f aca="false">F18*G18</f>
        <v>126000</v>
      </c>
      <c r="I18" s="40" t="n">
        <f aca="false">'Factory Information'!F18</f>
        <v>0.86</v>
      </c>
      <c r="J18" s="22" t="n">
        <f aca="false">IF(E18=0,0,H18/E18)</f>
        <v>3.08823529411765</v>
      </c>
      <c r="K18" s="24" t="n">
        <f aca="false">IF(D18=0,0,H18/D18)</f>
        <v>63000</v>
      </c>
      <c r="L18" s="13" t="str">
        <f aca="false">IF(J18&gt;=1,"OK","Shortfall")</f>
        <v>OK</v>
      </c>
    </row>
    <row r="19" customFormat="false" ht="15" hidden="false" customHeight="false" outlineLevel="0" collapsed="false">
      <c r="A19" s="12" t="str">
        <f aca="false">'Factory Information'!A19</f>
        <v>L14</v>
      </c>
      <c r="B19" s="27" t="str">
        <f aca="false">'Factory Information'!B19</f>
        <v>FB-013</v>
      </c>
      <c r="C19" s="27" t="str">
        <f aca="false">'Factory Information'!C19</f>
        <v>Seal Grease</v>
      </c>
      <c r="D19" s="28" t="n">
        <f aca="false">SUMIF('BOM Cost Build-up'!$B$6:$B$21,'Factory Information'!B19,'BOM Cost Build-up'!$D$6:$D$21)</f>
        <v>2</v>
      </c>
      <c r="E19" s="23" t="n">
        <f aca="false">D19*Assumptions!$C$15</f>
        <v>40800</v>
      </c>
      <c r="F19" s="23" t="n">
        <f aca="false">'Factory Information'!E19</f>
        <v>60000</v>
      </c>
      <c r="G19" s="40" t="n">
        <f aca="false">'Factory Information'!G19</f>
        <v>0.86</v>
      </c>
      <c r="H19" s="24" t="n">
        <f aca="false">F19*G19</f>
        <v>51600</v>
      </c>
      <c r="I19" s="40" t="n">
        <f aca="false">'Factory Information'!F19</f>
        <v>0.85</v>
      </c>
      <c r="J19" s="22" t="n">
        <f aca="false">IF(E19=0,0,H19/E19)</f>
        <v>1.26470588235294</v>
      </c>
      <c r="K19" s="24" t="n">
        <f aca="false">IF(D19=0,0,H19/D19)</f>
        <v>25800</v>
      </c>
      <c r="L19" s="13" t="str">
        <f aca="false">IF(J19&gt;=1,"OK","Shortfall")</f>
        <v>OK</v>
      </c>
    </row>
    <row r="21" customFormat="false" ht="15" hidden="false" customHeight="false" outlineLevel="0" collapsed="false">
      <c r="B21" s="19" t="s">
        <v>205</v>
      </c>
      <c r="E21" s="61" t="n">
        <f aca="false">MIN(K5:K19)</f>
        <v>10200</v>
      </c>
    </row>
    <row r="22" customFormat="false" ht="15" hidden="false" customHeight="false" outlineLevel="0" collapsed="false">
      <c r="B22" s="5" t="s">
        <v>90</v>
      </c>
      <c r="E22" s="62" t="str">
        <f aca="false">INDEX(A5:A19,MATCH(E21,K5:K19,0))</f>
        <v>L1</v>
      </c>
    </row>
    <row r="23" customFormat="false" ht="15" hidden="false" customHeight="false" outlineLevel="0" collapsed="false">
      <c r="B23" s="5" t="s">
        <v>206</v>
      </c>
      <c r="E23" s="24" t="n">
        <f aca="false">COUNTIF(L5:L19,"Shortfall")</f>
        <v>7</v>
      </c>
    </row>
    <row r="25" customFormat="false" ht="15" hidden="false" customHeight="false" outlineLevel="0" collapsed="false">
      <c r="B25" s="3" t="s">
        <v>207</v>
      </c>
    </row>
  </sheetData>
  <conditionalFormatting sqref="L5:L1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"ERROR"</formula>
    </cfRule>
    <cfRule type="cellIs" priority="4" operator="equal" aboveAverage="0" equalAverage="0" bottom="0" percent="0" rank="0" text="" dxfId="1">
      <formula>"Shortfall"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8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6" t="s">
        <v>208</v>
      </c>
    </row>
    <row r="2" customFormat="false" ht="15" hidden="false" customHeight="false" outlineLevel="0" collapsed="false">
      <c r="A2" s="3" t="s">
        <v>209</v>
      </c>
    </row>
    <row r="3" customFormat="false" ht="15" hidden="false" customHeight="false" outlineLevel="0" collapsed="false">
      <c r="B3" s="19" t="s">
        <v>210</v>
      </c>
      <c r="C3" s="63" t="str">
        <f aca="false">IF(COUNTIF(F6:F17,"ERROR")=0,"OK","ERROR")</f>
        <v>OK</v>
      </c>
    </row>
    <row r="5" customFormat="false" ht="30" hidden="false" customHeight="true" outlineLevel="0" collapsed="false">
      <c r="A5" s="18" t="s">
        <v>52</v>
      </c>
      <c r="B5" s="18" t="s">
        <v>211</v>
      </c>
      <c r="C5" s="18" t="s">
        <v>212</v>
      </c>
      <c r="D5" s="18" t="s">
        <v>213</v>
      </c>
      <c r="E5" s="18" t="s">
        <v>214</v>
      </c>
      <c r="F5" s="18" t="s">
        <v>215</v>
      </c>
    </row>
    <row r="6" customFormat="false" ht="15" hidden="false" customHeight="false" outlineLevel="0" collapsed="false">
      <c r="A6" s="13" t="n">
        <v>1</v>
      </c>
      <c r="B6" s="5" t="s">
        <v>216</v>
      </c>
      <c r="C6" s="64" t="n">
        <f aca="false">'BOM Cost Build-up'!I22</f>
        <v>1</v>
      </c>
      <c r="D6" s="65" t="n">
        <v>1</v>
      </c>
      <c r="E6" s="66" t="n">
        <v>1E-006</v>
      </c>
      <c r="F6" s="13" t="str">
        <f aca="false">IF(ABS(C6-D6)&lt;=E6,"OK","ERROR")</f>
        <v>OK</v>
      </c>
    </row>
    <row r="7" customFormat="false" ht="15" hidden="false" customHeight="false" outlineLevel="0" collapsed="false">
      <c r="A7" s="13" t="n">
        <v>2</v>
      </c>
      <c r="B7" s="5" t="s">
        <v>217</v>
      </c>
      <c r="C7" s="64" t="n">
        <f aca="false">'BOM Cost Build-up'!K22</f>
        <v>3.9E-005</v>
      </c>
      <c r="D7" s="65" t="n">
        <v>0</v>
      </c>
      <c r="E7" s="66" t="n">
        <v>0.0001</v>
      </c>
      <c r="F7" s="13" t="str">
        <f aca="false">IF(ABS(C7-D7)&lt;=E7,"OK","ERROR")</f>
        <v>OK</v>
      </c>
    </row>
    <row r="8" customFormat="false" ht="15" hidden="false" customHeight="false" outlineLevel="0" collapsed="false">
      <c r="A8" s="13" t="n">
        <v>3</v>
      </c>
      <c r="B8" s="5" t="s">
        <v>218</v>
      </c>
      <c r="C8" s="64" t="n">
        <f aca="false">'BOM Cost Build-up'!J49</f>
        <v>0</v>
      </c>
      <c r="D8" s="65" t="n">
        <v>0</v>
      </c>
      <c r="E8" s="66" t="n">
        <v>0.001</v>
      </c>
      <c r="F8" s="13" t="str">
        <f aca="false">IF(ABS(C8-D8)&lt;=E8,"OK","ERROR")</f>
        <v>OK</v>
      </c>
    </row>
    <row r="9" customFormat="false" ht="15" hidden="false" customHeight="false" outlineLevel="0" collapsed="false">
      <c r="A9" s="13" t="n">
        <v>4</v>
      </c>
      <c r="B9" s="5" t="s">
        <v>219</v>
      </c>
      <c r="C9" s="64" t="n">
        <f aca="false">'BOM Cost Build-up'!M22</f>
        <v>0</v>
      </c>
      <c r="D9" s="65" t="n">
        <v>0</v>
      </c>
      <c r="E9" s="66" t="n">
        <v>0.001</v>
      </c>
      <c r="F9" s="13" t="str">
        <f aca="false">IF(ABS(C9-D9)&lt;=E9,"OK","ERROR")</f>
        <v>OK</v>
      </c>
    </row>
    <row r="10" customFormat="false" ht="15" hidden="false" customHeight="false" outlineLevel="0" collapsed="false">
      <c r="A10" s="13" t="n">
        <v>5</v>
      </c>
      <c r="B10" s="5" t="s">
        <v>220</v>
      </c>
      <c r="C10" s="64" t="n">
        <f aca="false">'BOM Cost Build-up'!H49</f>
        <v>280.4</v>
      </c>
      <c r="D10" s="64" t="n">
        <f aca="false">'BOM Cost Build-up'!G22</f>
        <v>280.4</v>
      </c>
      <c r="E10" s="66" t="n">
        <v>0.001</v>
      </c>
      <c r="F10" s="13" t="str">
        <f aca="false">IF(ABS(C10-D10)&lt;=E10,"OK","ERROR")</f>
        <v>OK</v>
      </c>
    </row>
    <row r="11" customFormat="false" ht="15" hidden="false" customHeight="false" outlineLevel="0" collapsed="false">
      <c r="A11" s="13" t="n">
        <v>6</v>
      </c>
      <c r="B11" s="5" t="s">
        <v>221</v>
      </c>
      <c r="C11" s="64" t="n">
        <f aca="false">SUMPRODUCT(ABS('RM &amp; Supplier Cost'!F6:F13-1))</f>
        <v>0</v>
      </c>
      <c r="D11" s="65" t="n">
        <v>0</v>
      </c>
      <c r="E11" s="66" t="n">
        <v>1E-006</v>
      </c>
      <c r="F11" s="13" t="str">
        <f aca="false">IF(ABS(C11-D11)&lt;=E11,"OK","ERROR")</f>
        <v>OK</v>
      </c>
    </row>
    <row r="12" customFormat="false" ht="15" hidden="false" customHeight="false" outlineLevel="0" collapsed="false">
      <c r="A12" s="13" t="n">
        <v>7</v>
      </c>
      <c r="B12" s="5" t="s">
        <v>222</v>
      </c>
      <c r="C12" s="64" t="n">
        <f aca="false">'RM &amp; Supplier Cost'!G14</f>
        <v>280.4</v>
      </c>
      <c r="D12" s="64" t="n">
        <f aca="false">'BOM Cost Build-up'!G22</f>
        <v>280.4</v>
      </c>
      <c r="E12" s="66" t="n">
        <v>0.001</v>
      </c>
      <c r="F12" s="13" t="str">
        <f aca="false">IF(ABS(C12-D12)&lt;=E12,"OK","ERROR")</f>
        <v>OK</v>
      </c>
    </row>
    <row r="13" customFormat="false" ht="15" hidden="false" customHeight="false" outlineLevel="0" collapsed="false">
      <c r="A13" s="13" t="n">
        <v>8</v>
      </c>
      <c r="B13" s="5" t="s">
        <v>223</v>
      </c>
      <c r="C13" s="64" t="n">
        <f aca="false">'RM &amp; Supplier Cost'!I29</f>
        <v>280.4</v>
      </c>
      <c r="D13" s="64" t="n">
        <f aca="false">'BOM Cost Build-up'!G22</f>
        <v>280.4</v>
      </c>
      <c r="E13" s="66" t="n">
        <v>0.001</v>
      </c>
      <c r="F13" s="13" t="str">
        <f aca="false">IF(ABS(C13-D13)&lt;=E13,"OK","ERROR")</f>
        <v>OK</v>
      </c>
    </row>
    <row r="14" customFormat="false" ht="15" hidden="false" customHeight="false" outlineLevel="0" collapsed="false">
      <c r="A14" s="13" t="n">
        <v>9</v>
      </c>
      <c r="B14" s="5" t="s">
        <v>224</v>
      </c>
      <c r="C14" s="64" t="n">
        <f aca="false">'RM &amp; Supplier Cost'!E40</f>
        <v>280.4</v>
      </c>
      <c r="D14" s="64" t="n">
        <f aca="false">'BOM Cost Build-up'!G22</f>
        <v>280.4</v>
      </c>
      <c r="E14" s="66" t="n">
        <v>0.001</v>
      </c>
      <c r="F14" s="13" t="str">
        <f aca="false">IF(ABS(C14-D14)&lt;=E14,"OK","ERROR")</f>
        <v>OK</v>
      </c>
    </row>
    <row r="15" customFormat="false" ht="15" hidden="false" customHeight="false" outlineLevel="0" collapsed="false">
      <c r="A15" s="13" t="n">
        <v>10</v>
      </c>
      <c r="B15" s="5" t="s">
        <v>225</v>
      </c>
      <c r="C15" s="64" t="n">
        <f aca="false">'RM &amp; Supplier Cost'!E47</f>
        <v>280.4</v>
      </c>
      <c r="D15" s="64" t="n">
        <f aca="false">'BOM Cost Build-up'!G22</f>
        <v>280.4</v>
      </c>
      <c r="E15" s="66" t="n">
        <v>0.001</v>
      </c>
      <c r="F15" s="13" t="str">
        <f aca="false">IF(ABS(C15-D15)&lt;=E15,"OK","ERROR")</f>
        <v>OK</v>
      </c>
    </row>
    <row r="16" customFormat="false" ht="15" hidden="false" customHeight="false" outlineLevel="0" collapsed="false">
      <c r="A16" s="13" t="n">
        <v>11</v>
      </c>
      <c r="B16" s="5" t="s">
        <v>226</v>
      </c>
      <c r="C16" s="64" t="n">
        <f aca="false">'RM &amp; Supplier Cost'!L14</f>
        <v>280.4</v>
      </c>
      <c r="D16" s="64" t="n">
        <f aca="false">'RM &amp; Supplier Cost'!N29</f>
        <v>280.4</v>
      </c>
      <c r="E16" s="66" t="n">
        <v>0.001</v>
      </c>
      <c r="F16" s="13" t="str">
        <f aca="false">IF(ABS(C16-D16)&lt;=E16,"OK","ERROR")</f>
        <v>OK</v>
      </c>
    </row>
    <row r="17" customFormat="false" ht="15" hidden="false" customHeight="false" outlineLevel="0" collapsed="false">
      <c r="A17" s="13" t="n">
        <v>12</v>
      </c>
      <c r="B17" s="5" t="s">
        <v>227</v>
      </c>
      <c r="C17" s="64" t="n">
        <f aca="false">Summary!C7</f>
        <v>280.4</v>
      </c>
      <c r="D17" s="64" t="n">
        <f aca="false">SUM('BOM &amp; COGS Ratio'!K3:K18)</f>
        <v>280.4</v>
      </c>
      <c r="E17" s="66" t="n">
        <v>0.001</v>
      </c>
      <c r="F17" s="13" t="str">
        <f aca="false">IF(ABS(C17-D17)&lt;=E17,"OK","ERROR")</f>
        <v>OK</v>
      </c>
    </row>
  </sheetData>
  <conditionalFormatting sqref="F6:F1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"ERROR"</formula>
    </cfRule>
    <cfRule type="cellIs" priority="4" operator="equal" aboveAverage="0" equalAverage="0" bottom="0" percent="0" rank="0" text="" dxfId="1">
      <formula>"Shortfall"</formula>
    </cfRule>
  </conditionalFormatting>
  <conditionalFormatting sqref="C3">
    <cfRule type="cellIs" priority="5" operator="equal" aboveAverage="0" equalAverage="0" bottom="0" percent="0" rank="0" text="" dxfId="0">
      <formula>"OK"</formula>
    </cfRule>
    <cfRule type="cellIs" priority="6" operator="equal" aboveAverage="0" equalAverage="0" bottom="0" percent="0" rank="0" text="" dxfId="1">
      <formula>"ERROR"</formula>
    </cfRule>
    <cfRule type="cellIs" priority="7" operator="equal" aboveAverage="0" equalAverage="0" bottom="0" percent="0" rank="0" text="" dxfId="1">
      <formula>"Shortfall"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Z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2" min="2" style="0" width="23.57"/>
    <col collapsed="false" customWidth="true" hidden="false" outlineLevel="0" max="3" min="3" style="0" width="30.14"/>
    <col collapsed="false" customWidth="true" hidden="false" outlineLevel="0" max="4" min="4" style="0" width="68"/>
  </cols>
  <sheetData>
    <row r="1" customFormat="false" ht="36.75" hidden="false" customHeight="true" outlineLevel="0" collapsed="false">
      <c r="A1" s="67"/>
      <c r="B1" s="67"/>
      <c r="C1" s="67"/>
      <c r="D1" s="67"/>
      <c r="E1" s="68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customFormat="false" ht="15" hidden="false" customHeight="false" outlineLevel="0" collapsed="false">
      <c r="A2" s="70" t="s">
        <v>228</v>
      </c>
      <c r="B2" s="70" t="s">
        <v>229</v>
      </c>
      <c r="C2" s="70" t="s">
        <v>230</v>
      </c>
      <c r="D2" s="70" t="s">
        <v>231</v>
      </c>
      <c r="E2" s="68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customFormat="false" ht="41.75" hidden="false" customHeight="true" outlineLevel="0" collapsed="false">
      <c r="A3" s="71" t="n">
        <v>1</v>
      </c>
      <c r="B3" s="72" t="s">
        <v>232</v>
      </c>
      <c r="C3" s="72" t="s">
        <v>233</v>
      </c>
      <c r="D3" s="72" t="s">
        <v>234</v>
      </c>
      <c r="E3" s="68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customFormat="false" ht="15" hidden="false" customHeight="false" outlineLevel="0" collapsed="false">
      <c r="A4" s="71"/>
      <c r="B4" s="71"/>
      <c r="C4" s="72" t="s">
        <v>53</v>
      </c>
      <c r="D4" s="72" t="s">
        <v>235</v>
      </c>
      <c r="E4" s="68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customFormat="false" ht="15" hidden="false" customHeight="false" outlineLevel="0" collapsed="false">
      <c r="A5" s="71"/>
      <c r="B5" s="71"/>
      <c r="C5" s="72" t="s">
        <v>54</v>
      </c>
      <c r="D5" s="72" t="s">
        <v>236</v>
      </c>
      <c r="E5" s="68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customFormat="false" ht="28.35" hidden="false" customHeight="false" outlineLevel="0" collapsed="false">
      <c r="A6" s="71"/>
      <c r="B6" s="71"/>
      <c r="C6" s="72" t="s">
        <v>160</v>
      </c>
      <c r="D6" s="72" t="s">
        <v>237</v>
      </c>
      <c r="E6" s="68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customFormat="false" ht="28.35" hidden="false" customHeight="false" outlineLevel="0" collapsed="false">
      <c r="A7" s="71"/>
      <c r="B7" s="71"/>
      <c r="C7" s="72" t="s">
        <v>238</v>
      </c>
      <c r="D7" s="72" t="s">
        <v>239</v>
      </c>
      <c r="E7" s="68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customFormat="false" ht="15" hidden="false" customHeight="false" outlineLevel="0" collapsed="false">
      <c r="A8" s="71"/>
      <c r="B8" s="71"/>
      <c r="C8" s="72" t="s">
        <v>145</v>
      </c>
      <c r="D8" s="72" t="s">
        <v>240</v>
      </c>
      <c r="E8" s="68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customFormat="false" ht="15" hidden="false" customHeight="false" outlineLevel="0" collapsed="false">
      <c r="A9" s="71"/>
      <c r="B9" s="71"/>
      <c r="C9" s="72" t="s">
        <v>67</v>
      </c>
      <c r="D9" s="72" t="s">
        <v>235</v>
      </c>
      <c r="E9" s="68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customFormat="false" ht="15" hidden="false" customHeight="false" outlineLevel="0" collapsed="false">
      <c r="A10" s="71"/>
      <c r="B10" s="71"/>
      <c r="C10" s="72" t="s">
        <v>68</v>
      </c>
      <c r="D10" s="72" t="s">
        <v>236</v>
      </c>
      <c r="E10" s="68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customFormat="false" ht="15" hidden="false" customHeight="false" outlineLevel="0" collapsed="false">
      <c r="A11" s="71"/>
      <c r="B11" s="71"/>
      <c r="C11" s="72" t="s">
        <v>241</v>
      </c>
      <c r="D11" s="72" t="s">
        <v>242</v>
      </c>
      <c r="E11" s="68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customFormat="false" ht="28.35" hidden="false" customHeight="false" outlineLevel="0" collapsed="false">
      <c r="A12" s="71"/>
      <c r="B12" s="71"/>
      <c r="C12" s="72" t="s">
        <v>243</v>
      </c>
      <c r="D12" s="72" t="s">
        <v>244</v>
      </c>
      <c r="E12" s="68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customFormat="false" ht="15" hidden="false" customHeight="false" outlineLevel="0" collapsed="false">
      <c r="A13" s="71"/>
      <c r="B13" s="71"/>
      <c r="C13" s="72" t="s">
        <v>245</v>
      </c>
      <c r="D13" s="72" t="s">
        <v>246</v>
      </c>
      <c r="E13" s="68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customFormat="false" ht="15" hidden="false" customHeight="true" outlineLevel="0" collapsed="false">
      <c r="A14" s="71" t="n">
        <v>2</v>
      </c>
      <c r="B14" s="72" t="s">
        <v>247</v>
      </c>
      <c r="C14" s="72" t="s">
        <v>53</v>
      </c>
      <c r="D14" s="72" t="s">
        <v>235</v>
      </c>
      <c r="E14" s="68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customFormat="false" ht="15" hidden="false" customHeight="false" outlineLevel="0" collapsed="false">
      <c r="A15" s="71"/>
      <c r="B15" s="71"/>
      <c r="C15" s="72" t="s">
        <v>54</v>
      </c>
      <c r="D15" s="72" t="s">
        <v>236</v>
      </c>
      <c r="E15" s="68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customFormat="false" ht="15" hidden="false" customHeight="false" outlineLevel="0" collapsed="false">
      <c r="A16" s="71"/>
      <c r="B16" s="71"/>
      <c r="C16" s="72" t="s">
        <v>67</v>
      </c>
      <c r="D16" s="72" t="s">
        <v>235</v>
      </c>
      <c r="E16" s="68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customFormat="false" ht="15" hidden="false" customHeight="false" outlineLevel="0" collapsed="false">
      <c r="A17" s="71"/>
      <c r="B17" s="71"/>
      <c r="C17" s="72" t="s">
        <v>68</v>
      </c>
      <c r="D17" s="72" t="s">
        <v>236</v>
      </c>
      <c r="E17" s="68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customFormat="false" ht="28.35" hidden="false" customHeight="false" outlineLevel="0" collapsed="false">
      <c r="A18" s="71"/>
      <c r="B18" s="71"/>
      <c r="C18" s="72" t="s">
        <v>248</v>
      </c>
      <c r="D18" s="72" t="s">
        <v>249</v>
      </c>
      <c r="E18" s="68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customFormat="false" ht="15" hidden="false" customHeight="false" outlineLevel="0" collapsed="false">
      <c r="A19" s="71"/>
      <c r="B19" s="71"/>
      <c r="C19" s="72" t="s">
        <v>250</v>
      </c>
      <c r="D19" s="72" t="s">
        <v>251</v>
      </c>
      <c r="E19" s="68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customFormat="false" ht="28.35" hidden="false" customHeight="false" outlineLevel="0" collapsed="false">
      <c r="A20" s="71"/>
      <c r="B20" s="71"/>
      <c r="C20" s="72" t="s">
        <v>252</v>
      </c>
      <c r="D20" s="72" t="s">
        <v>253</v>
      </c>
      <c r="E20" s="68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customFormat="false" ht="28.35" hidden="false" customHeight="false" outlineLevel="0" collapsed="false">
      <c r="A21" s="71"/>
      <c r="B21" s="71"/>
      <c r="C21" s="72" t="s">
        <v>254</v>
      </c>
      <c r="D21" s="72" t="s">
        <v>255</v>
      </c>
      <c r="E21" s="68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customFormat="false" ht="15" hidden="false" customHeight="false" outlineLevel="0" collapsed="false">
      <c r="A22" s="71"/>
      <c r="B22" s="71"/>
      <c r="C22" s="72" t="s">
        <v>256</v>
      </c>
      <c r="D22" s="72" t="s">
        <v>257</v>
      </c>
      <c r="E22" s="68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customFormat="false" ht="15" hidden="false" customHeight="true" outlineLevel="0" collapsed="false">
      <c r="A23" s="71" t="n">
        <v>3</v>
      </c>
      <c r="B23" s="72" t="s">
        <v>258</v>
      </c>
      <c r="C23" s="72" t="s">
        <v>193</v>
      </c>
      <c r="D23" s="72" t="s">
        <v>259</v>
      </c>
      <c r="E23" s="68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customFormat="false" ht="15" hidden="false" customHeight="false" outlineLevel="0" collapsed="false">
      <c r="A24" s="71"/>
      <c r="B24" s="71"/>
      <c r="C24" s="72" t="s">
        <v>53</v>
      </c>
      <c r="D24" s="72" t="s">
        <v>235</v>
      </c>
      <c r="E24" s="68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customFormat="false" ht="15" hidden="false" customHeight="false" outlineLevel="0" collapsed="false">
      <c r="A25" s="71"/>
      <c r="B25" s="71"/>
      <c r="C25" s="72" t="s">
        <v>54</v>
      </c>
      <c r="D25" s="72" t="s">
        <v>236</v>
      </c>
      <c r="E25" s="68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customFormat="false" ht="15" hidden="false" customHeight="false" outlineLevel="0" collapsed="false">
      <c r="A26" s="71"/>
      <c r="B26" s="71"/>
      <c r="C26" s="72" t="s">
        <v>260</v>
      </c>
      <c r="D26" s="72" t="s">
        <v>261</v>
      </c>
      <c r="E26" s="68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customFormat="false" ht="15" hidden="false" customHeight="false" outlineLevel="0" collapsed="false">
      <c r="A27" s="71"/>
      <c r="B27" s="71"/>
      <c r="C27" s="72" t="s">
        <v>262</v>
      </c>
      <c r="D27" s="72" t="s">
        <v>263</v>
      </c>
      <c r="E27" s="68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customFormat="false" ht="28.35" hidden="false" customHeight="false" outlineLevel="0" collapsed="false">
      <c r="A28" s="71"/>
      <c r="B28" s="71"/>
      <c r="C28" s="72" t="s">
        <v>264</v>
      </c>
      <c r="D28" s="72" t="s">
        <v>265</v>
      </c>
      <c r="E28" s="68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customFormat="false" ht="28.35" hidden="false" customHeight="false" outlineLevel="0" collapsed="false">
      <c r="A29" s="71"/>
      <c r="B29" s="71"/>
      <c r="C29" s="72" t="s">
        <v>266</v>
      </c>
      <c r="D29" s="72" t="s">
        <v>267</v>
      </c>
      <c r="E29" s="68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customFormat="false" ht="15" hidden="false" customHeight="false" outlineLevel="0" collapsed="false">
      <c r="A30" s="71"/>
      <c r="B30" s="71"/>
      <c r="C30" s="72" t="s">
        <v>268</v>
      </c>
      <c r="D30" s="72" t="s">
        <v>269</v>
      </c>
      <c r="E30" s="68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customFormat="false" ht="15" hidden="false" customHeight="false" outlineLevel="0" collapsed="false">
      <c r="A31" s="73"/>
      <c r="B31" s="74"/>
      <c r="C31" s="74"/>
      <c r="D31" s="74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customFormat="false" ht="15" hidden="false" customHeight="false" outlineLevel="0" collapsed="false">
      <c r="A32" s="75"/>
      <c r="B32" s="76"/>
      <c r="C32" s="76"/>
      <c r="D32" s="76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customFormat="false" ht="15" hidden="false" customHeight="false" outlineLevel="0" collapsed="false">
      <c r="A33" s="75"/>
      <c r="B33" s="76"/>
      <c r="C33" s="76"/>
      <c r="D33" s="76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customFormat="false" ht="15" hidden="false" customHeight="false" outlineLevel="0" collapsed="false">
      <c r="A34" s="75"/>
      <c r="B34" s="76"/>
      <c r="C34" s="76"/>
      <c r="D34" s="76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customFormat="false" ht="15" hidden="false" customHeight="false" outlineLevel="0" collapsed="false">
      <c r="A35" s="75"/>
      <c r="B35" s="76"/>
      <c r="C35" s="76"/>
      <c r="D35" s="76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customFormat="false" ht="15" hidden="false" customHeight="false" outlineLevel="0" collapsed="false">
      <c r="A36" s="75"/>
      <c r="B36" s="76"/>
      <c r="C36" s="76"/>
      <c r="D36" s="76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customFormat="false" ht="15" hidden="false" customHeight="false" outlineLevel="0" collapsed="false">
      <c r="A37" s="75"/>
      <c r="B37" s="76"/>
      <c r="C37" s="76"/>
      <c r="D37" s="76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customFormat="false" ht="15" hidden="false" customHeight="false" outlineLevel="0" collapsed="false">
      <c r="A38" s="75"/>
      <c r="B38" s="76"/>
      <c r="C38" s="76"/>
      <c r="D38" s="76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customFormat="false" ht="15" hidden="false" customHeight="false" outlineLevel="0" collapsed="false">
      <c r="A39" s="75"/>
      <c r="B39" s="76"/>
      <c r="C39" s="76"/>
      <c r="D39" s="76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customFormat="false" ht="15" hidden="false" customHeight="false" outlineLevel="0" collapsed="false">
      <c r="A40" s="75"/>
      <c r="B40" s="76"/>
      <c r="C40" s="76"/>
      <c r="D40" s="76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customFormat="false" ht="15" hidden="false" customHeight="false" outlineLevel="0" collapsed="false">
      <c r="A41" s="75"/>
      <c r="B41" s="76"/>
      <c r="C41" s="76"/>
      <c r="D41" s="76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customFormat="false" ht="15" hidden="false" customHeight="false" outlineLevel="0" collapsed="false">
      <c r="A42" s="75"/>
      <c r="B42" s="76"/>
      <c r="C42" s="76"/>
      <c r="D42" s="76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customFormat="false" ht="15" hidden="false" customHeight="false" outlineLevel="0" collapsed="false">
      <c r="A43" s="75"/>
      <c r="B43" s="76"/>
      <c r="C43" s="76"/>
      <c r="D43" s="76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customFormat="false" ht="15" hidden="false" customHeight="false" outlineLevel="0" collapsed="false">
      <c r="A44" s="75"/>
      <c r="B44" s="76"/>
      <c r="C44" s="76"/>
      <c r="D44" s="76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customFormat="false" ht="15" hidden="false" customHeight="false" outlineLevel="0" collapsed="false">
      <c r="A45" s="75"/>
      <c r="B45" s="76"/>
      <c r="C45" s="76"/>
      <c r="D45" s="76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customFormat="false" ht="15" hidden="false" customHeight="false" outlineLevel="0" collapsed="false">
      <c r="A46" s="75"/>
      <c r="B46" s="76"/>
      <c r="C46" s="76"/>
      <c r="D46" s="76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customFormat="false" ht="15" hidden="false" customHeight="false" outlineLevel="0" collapsed="false">
      <c r="A47" s="75"/>
      <c r="B47" s="76"/>
      <c r="C47" s="76"/>
      <c r="D47" s="76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customFormat="false" ht="15" hidden="false" customHeight="false" outlineLevel="0" collapsed="false">
      <c r="A48" s="75"/>
      <c r="B48" s="76"/>
      <c r="C48" s="76"/>
      <c r="D48" s="76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customFormat="false" ht="15" hidden="false" customHeight="false" outlineLevel="0" collapsed="false">
      <c r="A49" s="75"/>
      <c r="B49" s="76"/>
      <c r="C49" s="76"/>
      <c r="D49" s="76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customFormat="false" ht="15" hidden="false" customHeight="false" outlineLevel="0" collapsed="false">
      <c r="A50" s="75"/>
      <c r="B50" s="76"/>
      <c r="C50" s="76"/>
      <c r="D50" s="76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customFormat="false" ht="15" hidden="false" customHeight="false" outlineLevel="0" collapsed="false">
      <c r="A51" s="75"/>
      <c r="B51" s="76"/>
      <c r="C51" s="76"/>
      <c r="D51" s="76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customFormat="false" ht="15" hidden="false" customHeight="false" outlineLevel="0" collapsed="false">
      <c r="A52" s="75"/>
      <c r="B52" s="76"/>
      <c r="C52" s="76"/>
      <c r="D52" s="76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customFormat="false" ht="15" hidden="false" customHeight="false" outlineLevel="0" collapsed="false">
      <c r="A53" s="75"/>
      <c r="B53" s="76"/>
      <c r="C53" s="76"/>
      <c r="D53" s="76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customFormat="false" ht="15" hidden="false" customHeight="false" outlineLevel="0" collapsed="false">
      <c r="A54" s="75"/>
      <c r="B54" s="76"/>
      <c r="C54" s="76"/>
      <c r="D54" s="76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customFormat="false" ht="15" hidden="false" customHeight="false" outlineLevel="0" collapsed="false">
      <c r="A55" s="75"/>
      <c r="B55" s="76"/>
      <c r="C55" s="76"/>
      <c r="D55" s="76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customFormat="false" ht="15" hidden="false" customHeight="false" outlineLevel="0" collapsed="false">
      <c r="A56" s="75"/>
      <c r="B56" s="76"/>
      <c r="C56" s="76"/>
      <c r="D56" s="76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customFormat="false" ht="15" hidden="false" customHeight="false" outlineLevel="0" collapsed="false">
      <c r="A57" s="75"/>
      <c r="B57" s="76"/>
      <c r="C57" s="76"/>
      <c r="D57" s="76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customFormat="false" ht="15" hidden="false" customHeight="false" outlineLevel="0" collapsed="false">
      <c r="A58" s="75"/>
      <c r="B58" s="76"/>
      <c r="C58" s="76"/>
      <c r="D58" s="76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customFormat="false" ht="15" hidden="false" customHeight="false" outlineLevel="0" collapsed="false">
      <c r="A59" s="75"/>
      <c r="B59" s="76"/>
      <c r="C59" s="76"/>
      <c r="D59" s="76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customFormat="false" ht="15" hidden="false" customHeight="false" outlineLevel="0" collapsed="false">
      <c r="A60" s="75"/>
      <c r="B60" s="76"/>
      <c r="C60" s="76"/>
      <c r="D60" s="76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customFormat="false" ht="15" hidden="false" customHeight="false" outlineLevel="0" collapsed="false">
      <c r="A61" s="75"/>
      <c r="B61" s="76"/>
      <c r="C61" s="76"/>
      <c r="D61" s="76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customFormat="false" ht="15" hidden="false" customHeight="false" outlineLevel="0" collapsed="false">
      <c r="A62" s="75"/>
      <c r="B62" s="76"/>
      <c r="C62" s="76"/>
      <c r="D62" s="76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customFormat="false" ht="15" hidden="false" customHeight="false" outlineLevel="0" collapsed="false">
      <c r="A63" s="75"/>
      <c r="B63" s="76"/>
      <c r="C63" s="76"/>
      <c r="D63" s="76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customFormat="false" ht="15" hidden="false" customHeight="false" outlineLevel="0" collapsed="false">
      <c r="A64" s="75"/>
      <c r="B64" s="76"/>
      <c r="C64" s="76"/>
      <c r="D64" s="76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customFormat="false" ht="15" hidden="false" customHeight="false" outlineLevel="0" collapsed="false">
      <c r="A65" s="75"/>
      <c r="B65" s="76"/>
      <c r="C65" s="76"/>
      <c r="D65" s="76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customFormat="false" ht="15" hidden="false" customHeight="false" outlineLevel="0" collapsed="false">
      <c r="A66" s="75"/>
      <c r="B66" s="76"/>
      <c r="C66" s="76"/>
      <c r="D66" s="76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customFormat="false" ht="15" hidden="false" customHeight="false" outlineLevel="0" collapsed="false">
      <c r="A67" s="75"/>
      <c r="B67" s="76"/>
      <c r="C67" s="76"/>
      <c r="D67" s="76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customFormat="false" ht="15" hidden="false" customHeight="false" outlineLevel="0" collapsed="false">
      <c r="A68" s="75"/>
      <c r="B68" s="76"/>
      <c r="C68" s="76"/>
      <c r="D68" s="76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customFormat="false" ht="15" hidden="false" customHeight="false" outlineLevel="0" collapsed="false">
      <c r="A69" s="75"/>
      <c r="B69" s="76"/>
      <c r="C69" s="76"/>
      <c r="D69" s="76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customFormat="false" ht="15" hidden="false" customHeight="false" outlineLevel="0" collapsed="false">
      <c r="A70" s="75"/>
      <c r="B70" s="76"/>
      <c r="C70" s="76"/>
      <c r="D70" s="76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customFormat="false" ht="15" hidden="false" customHeight="false" outlineLevel="0" collapsed="false">
      <c r="A71" s="75"/>
      <c r="B71" s="76"/>
      <c r="C71" s="76"/>
      <c r="D71" s="76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customFormat="false" ht="15" hidden="false" customHeight="false" outlineLevel="0" collapsed="false">
      <c r="A72" s="75"/>
      <c r="B72" s="76"/>
      <c r="C72" s="76"/>
      <c r="D72" s="76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customFormat="false" ht="15" hidden="false" customHeight="false" outlineLevel="0" collapsed="false">
      <c r="A73" s="75"/>
      <c r="B73" s="76"/>
      <c r="C73" s="76"/>
      <c r="D73" s="76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customFormat="false" ht="15" hidden="false" customHeight="false" outlineLevel="0" collapsed="false">
      <c r="A74" s="75"/>
      <c r="B74" s="76"/>
      <c r="C74" s="76"/>
      <c r="D74" s="76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customFormat="false" ht="15" hidden="false" customHeight="false" outlineLevel="0" collapsed="false">
      <c r="A75" s="75"/>
      <c r="B75" s="76"/>
      <c r="C75" s="76"/>
      <c r="D75" s="76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customFormat="false" ht="15" hidden="false" customHeight="false" outlineLevel="0" collapsed="false">
      <c r="A76" s="75"/>
      <c r="B76" s="76"/>
      <c r="C76" s="76"/>
      <c r="D76" s="76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customFormat="false" ht="15" hidden="false" customHeight="false" outlineLevel="0" collapsed="false">
      <c r="A77" s="75"/>
      <c r="B77" s="76"/>
      <c r="C77" s="76"/>
      <c r="D77" s="76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customFormat="false" ht="15" hidden="false" customHeight="false" outlineLevel="0" collapsed="false">
      <c r="A78" s="75"/>
      <c r="B78" s="76"/>
      <c r="C78" s="76"/>
      <c r="D78" s="76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customFormat="false" ht="15" hidden="false" customHeight="false" outlineLevel="0" collapsed="false">
      <c r="A79" s="75"/>
      <c r="B79" s="76"/>
      <c r="C79" s="76"/>
      <c r="D79" s="76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customFormat="false" ht="15" hidden="false" customHeight="false" outlineLevel="0" collapsed="false">
      <c r="A80" s="75"/>
      <c r="B80" s="76"/>
      <c r="C80" s="76"/>
      <c r="D80" s="76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customFormat="false" ht="15" hidden="false" customHeight="false" outlineLevel="0" collapsed="false">
      <c r="A81" s="75"/>
      <c r="B81" s="76"/>
      <c r="C81" s="76"/>
      <c r="D81" s="76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customFormat="false" ht="15" hidden="false" customHeight="false" outlineLevel="0" collapsed="false">
      <c r="A82" s="75"/>
      <c r="B82" s="76"/>
      <c r="C82" s="76"/>
      <c r="D82" s="76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customFormat="false" ht="15" hidden="false" customHeight="false" outlineLevel="0" collapsed="false">
      <c r="A83" s="75"/>
      <c r="B83" s="76"/>
      <c r="C83" s="76"/>
      <c r="D83" s="76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customFormat="false" ht="15" hidden="false" customHeight="false" outlineLevel="0" collapsed="false">
      <c r="A84" s="75"/>
      <c r="B84" s="76"/>
      <c r="C84" s="76"/>
      <c r="D84" s="76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customFormat="false" ht="15" hidden="false" customHeight="false" outlineLevel="0" collapsed="false">
      <c r="A85" s="75"/>
      <c r="B85" s="76"/>
      <c r="C85" s="76"/>
      <c r="D85" s="76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customFormat="false" ht="15" hidden="false" customHeight="false" outlineLevel="0" collapsed="false">
      <c r="A86" s="75"/>
      <c r="B86" s="76"/>
      <c r="C86" s="76"/>
      <c r="D86" s="76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customFormat="false" ht="15" hidden="false" customHeight="false" outlineLevel="0" collapsed="false">
      <c r="A87" s="75"/>
      <c r="B87" s="76"/>
      <c r="C87" s="76"/>
      <c r="D87" s="76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customFormat="false" ht="15" hidden="false" customHeight="false" outlineLevel="0" collapsed="false">
      <c r="A88" s="75"/>
      <c r="B88" s="76"/>
      <c r="C88" s="76"/>
      <c r="D88" s="76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customFormat="false" ht="15" hidden="false" customHeight="false" outlineLevel="0" collapsed="false">
      <c r="A89" s="75"/>
      <c r="B89" s="76"/>
      <c r="C89" s="76"/>
      <c r="D89" s="76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customFormat="false" ht="15" hidden="false" customHeight="false" outlineLevel="0" collapsed="false">
      <c r="A90" s="75"/>
      <c r="B90" s="76"/>
      <c r="C90" s="76"/>
      <c r="D90" s="76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customFormat="false" ht="15" hidden="false" customHeight="false" outlineLevel="0" collapsed="false">
      <c r="A91" s="75"/>
      <c r="B91" s="76"/>
      <c r="C91" s="76"/>
      <c r="D91" s="76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customFormat="false" ht="15" hidden="false" customHeight="false" outlineLevel="0" collapsed="false">
      <c r="A92" s="75"/>
      <c r="B92" s="76"/>
      <c r="C92" s="76"/>
      <c r="D92" s="76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customFormat="false" ht="15" hidden="false" customHeight="false" outlineLevel="0" collapsed="false">
      <c r="A93" s="75"/>
      <c r="B93" s="76"/>
      <c r="C93" s="76"/>
      <c r="D93" s="76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customFormat="false" ht="15" hidden="false" customHeight="false" outlineLevel="0" collapsed="false">
      <c r="A94" s="75"/>
      <c r="B94" s="76"/>
      <c r="C94" s="76"/>
      <c r="D94" s="76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customFormat="false" ht="15" hidden="false" customHeight="false" outlineLevel="0" collapsed="false">
      <c r="A95" s="75"/>
      <c r="B95" s="76"/>
      <c r="C95" s="76"/>
      <c r="D95" s="76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customFormat="false" ht="15" hidden="false" customHeight="false" outlineLevel="0" collapsed="false">
      <c r="A96" s="75"/>
      <c r="B96" s="76"/>
      <c r="C96" s="76"/>
      <c r="D96" s="76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customFormat="false" ht="15" hidden="false" customHeight="false" outlineLevel="0" collapsed="false">
      <c r="A97" s="75"/>
      <c r="B97" s="76"/>
      <c r="C97" s="76"/>
      <c r="D97" s="76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customFormat="false" ht="15" hidden="false" customHeight="false" outlineLevel="0" collapsed="false">
      <c r="A98" s="75"/>
      <c r="B98" s="76"/>
      <c r="C98" s="76"/>
      <c r="D98" s="76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customFormat="false" ht="15" hidden="false" customHeight="false" outlineLevel="0" collapsed="false">
      <c r="A99" s="75"/>
      <c r="B99" s="76"/>
      <c r="C99" s="76"/>
      <c r="D99" s="76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customFormat="false" ht="15" hidden="false" customHeight="false" outlineLevel="0" collapsed="false">
      <c r="A100" s="75"/>
      <c r="B100" s="76"/>
      <c r="C100" s="76"/>
      <c r="D100" s="76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customFormat="false" ht="15" hidden="false" customHeight="false" outlineLevel="0" collapsed="false">
      <c r="A101" s="75"/>
      <c r="B101" s="76"/>
      <c r="C101" s="76"/>
      <c r="D101" s="76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customFormat="false" ht="15" hidden="false" customHeight="false" outlineLevel="0" collapsed="false">
      <c r="A102" s="75"/>
      <c r="B102" s="76"/>
      <c r="C102" s="76"/>
      <c r="D102" s="76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customFormat="false" ht="15" hidden="false" customHeight="false" outlineLevel="0" collapsed="false">
      <c r="A103" s="75"/>
      <c r="B103" s="76"/>
      <c r="C103" s="76"/>
      <c r="D103" s="76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customFormat="false" ht="15" hidden="false" customHeight="false" outlineLevel="0" collapsed="false">
      <c r="A104" s="75"/>
      <c r="B104" s="76"/>
      <c r="C104" s="76"/>
      <c r="D104" s="76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customFormat="false" ht="15" hidden="false" customHeight="false" outlineLevel="0" collapsed="false">
      <c r="A105" s="75"/>
      <c r="B105" s="76"/>
      <c r="C105" s="76"/>
      <c r="D105" s="76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customFormat="false" ht="15" hidden="false" customHeight="false" outlineLevel="0" collapsed="false">
      <c r="A106" s="75"/>
      <c r="B106" s="76"/>
      <c r="C106" s="76"/>
      <c r="D106" s="76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customFormat="false" ht="15" hidden="false" customHeight="false" outlineLevel="0" collapsed="false">
      <c r="A107" s="75"/>
      <c r="B107" s="76"/>
      <c r="C107" s="76"/>
      <c r="D107" s="76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customFormat="false" ht="15" hidden="false" customHeight="false" outlineLevel="0" collapsed="false">
      <c r="A108" s="75"/>
      <c r="B108" s="76"/>
      <c r="C108" s="76"/>
      <c r="D108" s="76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customFormat="false" ht="15" hidden="false" customHeight="false" outlineLevel="0" collapsed="false">
      <c r="A109" s="75"/>
      <c r="B109" s="76"/>
      <c r="C109" s="76"/>
      <c r="D109" s="76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customFormat="false" ht="15" hidden="false" customHeight="false" outlineLevel="0" collapsed="false">
      <c r="A110" s="75"/>
      <c r="B110" s="76"/>
      <c r="C110" s="76"/>
      <c r="D110" s="76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customFormat="false" ht="15" hidden="false" customHeight="false" outlineLevel="0" collapsed="false">
      <c r="A111" s="75"/>
      <c r="B111" s="76"/>
      <c r="C111" s="76"/>
      <c r="D111" s="76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customFormat="false" ht="15" hidden="false" customHeight="false" outlineLevel="0" collapsed="false">
      <c r="A112" s="75"/>
      <c r="B112" s="76"/>
      <c r="C112" s="76"/>
      <c r="D112" s="76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customFormat="false" ht="15" hidden="false" customHeight="false" outlineLevel="0" collapsed="false">
      <c r="A113" s="75"/>
      <c r="B113" s="76"/>
      <c r="C113" s="76"/>
      <c r="D113" s="76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customFormat="false" ht="15" hidden="false" customHeight="false" outlineLevel="0" collapsed="false">
      <c r="A114" s="75"/>
      <c r="B114" s="76"/>
      <c r="C114" s="76"/>
      <c r="D114" s="76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customFormat="false" ht="15" hidden="false" customHeight="false" outlineLevel="0" collapsed="false">
      <c r="A115" s="75"/>
      <c r="B115" s="76"/>
      <c r="C115" s="76"/>
      <c r="D115" s="76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customFormat="false" ht="15" hidden="false" customHeight="false" outlineLevel="0" collapsed="false">
      <c r="A116" s="75"/>
      <c r="B116" s="76"/>
      <c r="C116" s="76"/>
      <c r="D116" s="76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customFormat="false" ht="15" hidden="false" customHeight="false" outlineLevel="0" collapsed="false">
      <c r="A117" s="75"/>
      <c r="B117" s="76"/>
      <c r="C117" s="76"/>
      <c r="D117" s="76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customFormat="false" ht="15" hidden="false" customHeight="false" outlineLevel="0" collapsed="false">
      <c r="A118" s="75"/>
      <c r="B118" s="76"/>
      <c r="C118" s="76"/>
      <c r="D118" s="76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customFormat="false" ht="15" hidden="false" customHeight="false" outlineLevel="0" collapsed="false">
      <c r="A119" s="75"/>
      <c r="B119" s="76"/>
      <c r="C119" s="76"/>
      <c r="D119" s="76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customFormat="false" ht="15" hidden="false" customHeight="false" outlineLevel="0" collapsed="false">
      <c r="A120" s="75"/>
      <c r="B120" s="76"/>
      <c r="C120" s="76"/>
      <c r="D120" s="76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customFormat="false" ht="15" hidden="false" customHeight="false" outlineLevel="0" collapsed="false">
      <c r="A121" s="75"/>
      <c r="B121" s="76"/>
      <c r="C121" s="76"/>
      <c r="D121" s="76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customFormat="false" ht="15" hidden="false" customHeight="false" outlineLevel="0" collapsed="false">
      <c r="A122" s="75"/>
      <c r="B122" s="76"/>
      <c r="C122" s="76"/>
      <c r="D122" s="76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customFormat="false" ht="15" hidden="false" customHeight="false" outlineLevel="0" collapsed="false">
      <c r="A123" s="75"/>
      <c r="B123" s="76"/>
      <c r="C123" s="76"/>
      <c r="D123" s="76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customFormat="false" ht="15" hidden="false" customHeight="false" outlineLevel="0" collapsed="false">
      <c r="A124" s="75"/>
      <c r="B124" s="76"/>
      <c r="C124" s="76"/>
      <c r="D124" s="76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customFormat="false" ht="15" hidden="false" customHeight="false" outlineLevel="0" collapsed="false">
      <c r="A125" s="75"/>
      <c r="B125" s="76"/>
      <c r="C125" s="76"/>
      <c r="D125" s="76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customFormat="false" ht="15" hidden="false" customHeight="false" outlineLevel="0" collapsed="false">
      <c r="A126" s="75"/>
      <c r="B126" s="76"/>
      <c r="C126" s="76"/>
      <c r="D126" s="76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customFormat="false" ht="15" hidden="false" customHeight="false" outlineLevel="0" collapsed="false">
      <c r="A127" s="75"/>
      <c r="B127" s="76"/>
      <c r="C127" s="76"/>
      <c r="D127" s="76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customFormat="false" ht="15" hidden="false" customHeight="false" outlineLevel="0" collapsed="false">
      <c r="A128" s="75"/>
      <c r="B128" s="76"/>
      <c r="C128" s="76"/>
      <c r="D128" s="76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customFormat="false" ht="15" hidden="false" customHeight="false" outlineLevel="0" collapsed="false">
      <c r="A129" s="75"/>
      <c r="B129" s="76"/>
      <c r="C129" s="76"/>
      <c r="D129" s="76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customFormat="false" ht="15" hidden="false" customHeight="false" outlineLevel="0" collapsed="false">
      <c r="A130" s="75"/>
      <c r="B130" s="76"/>
      <c r="C130" s="76"/>
      <c r="D130" s="76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customFormat="false" ht="15" hidden="false" customHeight="false" outlineLevel="0" collapsed="false">
      <c r="A131" s="75"/>
      <c r="B131" s="76"/>
      <c r="C131" s="76"/>
      <c r="D131" s="76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customFormat="false" ht="15" hidden="false" customHeight="false" outlineLevel="0" collapsed="false">
      <c r="A132" s="75"/>
      <c r="B132" s="76"/>
      <c r="C132" s="76"/>
      <c r="D132" s="76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customFormat="false" ht="15" hidden="false" customHeight="false" outlineLevel="0" collapsed="false">
      <c r="A133" s="75"/>
      <c r="B133" s="76"/>
      <c r="C133" s="76"/>
      <c r="D133" s="76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customFormat="false" ht="15" hidden="false" customHeight="false" outlineLevel="0" collapsed="false">
      <c r="A134" s="75"/>
      <c r="B134" s="76"/>
      <c r="C134" s="76"/>
      <c r="D134" s="76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customFormat="false" ht="15" hidden="false" customHeight="false" outlineLevel="0" collapsed="false">
      <c r="A135" s="75"/>
      <c r="B135" s="76"/>
      <c r="C135" s="76"/>
      <c r="D135" s="76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customFormat="false" ht="15" hidden="false" customHeight="false" outlineLevel="0" collapsed="false">
      <c r="A136" s="75"/>
      <c r="B136" s="76"/>
      <c r="C136" s="76"/>
      <c r="D136" s="76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customFormat="false" ht="15" hidden="false" customHeight="false" outlineLevel="0" collapsed="false">
      <c r="A137" s="75"/>
      <c r="B137" s="76"/>
      <c r="C137" s="76"/>
      <c r="D137" s="76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customFormat="false" ht="15" hidden="false" customHeight="false" outlineLevel="0" collapsed="false">
      <c r="A138" s="75"/>
      <c r="B138" s="76"/>
      <c r="C138" s="76"/>
      <c r="D138" s="76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customFormat="false" ht="15" hidden="false" customHeight="false" outlineLevel="0" collapsed="false">
      <c r="A139" s="75"/>
      <c r="B139" s="76"/>
      <c r="C139" s="76"/>
      <c r="D139" s="76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customFormat="false" ht="15" hidden="false" customHeight="false" outlineLevel="0" collapsed="false">
      <c r="A140" s="75"/>
      <c r="B140" s="76"/>
      <c r="C140" s="76"/>
      <c r="D140" s="76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customFormat="false" ht="15" hidden="false" customHeight="false" outlineLevel="0" collapsed="false">
      <c r="A141" s="75"/>
      <c r="B141" s="76"/>
      <c r="C141" s="76"/>
      <c r="D141" s="76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customFormat="false" ht="15" hidden="false" customHeight="false" outlineLevel="0" collapsed="false">
      <c r="A142" s="75"/>
      <c r="B142" s="76"/>
      <c r="C142" s="76"/>
      <c r="D142" s="76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customFormat="false" ht="15" hidden="false" customHeight="false" outlineLevel="0" collapsed="false">
      <c r="A143" s="75"/>
      <c r="B143" s="76"/>
      <c r="C143" s="76"/>
      <c r="D143" s="76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customFormat="false" ht="15" hidden="false" customHeight="false" outlineLevel="0" collapsed="false">
      <c r="A144" s="75"/>
      <c r="B144" s="76"/>
      <c r="C144" s="76"/>
      <c r="D144" s="76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customFormat="false" ht="15" hidden="false" customHeight="false" outlineLevel="0" collapsed="false">
      <c r="A145" s="75"/>
      <c r="B145" s="76"/>
      <c r="C145" s="76"/>
      <c r="D145" s="76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customFormat="false" ht="15" hidden="false" customHeight="false" outlineLevel="0" collapsed="false">
      <c r="A146" s="75"/>
      <c r="B146" s="76"/>
      <c r="C146" s="76"/>
      <c r="D146" s="76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customFormat="false" ht="15" hidden="false" customHeight="false" outlineLevel="0" collapsed="false">
      <c r="A147" s="75"/>
      <c r="B147" s="76"/>
      <c r="C147" s="76"/>
      <c r="D147" s="76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customFormat="false" ht="15" hidden="false" customHeight="false" outlineLevel="0" collapsed="false">
      <c r="A148" s="75"/>
      <c r="B148" s="76"/>
      <c r="C148" s="76"/>
      <c r="D148" s="76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customFormat="false" ht="15" hidden="false" customHeight="false" outlineLevel="0" collapsed="false">
      <c r="A149" s="75"/>
      <c r="B149" s="76"/>
      <c r="C149" s="76"/>
      <c r="D149" s="76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customFormat="false" ht="15" hidden="false" customHeight="false" outlineLevel="0" collapsed="false">
      <c r="A150" s="75"/>
      <c r="B150" s="76"/>
      <c r="C150" s="76"/>
      <c r="D150" s="76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customFormat="false" ht="15" hidden="false" customHeight="false" outlineLevel="0" collapsed="false">
      <c r="A151" s="75"/>
      <c r="B151" s="76"/>
      <c r="C151" s="76"/>
      <c r="D151" s="76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customFormat="false" ht="15" hidden="false" customHeight="false" outlineLevel="0" collapsed="false">
      <c r="A152" s="75"/>
      <c r="B152" s="76"/>
      <c r="C152" s="76"/>
      <c r="D152" s="76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customFormat="false" ht="15" hidden="false" customHeight="false" outlineLevel="0" collapsed="false">
      <c r="A153" s="75"/>
      <c r="B153" s="76"/>
      <c r="C153" s="76"/>
      <c r="D153" s="76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customFormat="false" ht="15" hidden="false" customHeight="false" outlineLevel="0" collapsed="false">
      <c r="A154" s="75"/>
      <c r="B154" s="76"/>
      <c r="C154" s="76"/>
      <c r="D154" s="76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customFormat="false" ht="15" hidden="false" customHeight="false" outlineLevel="0" collapsed="false">
      <c r="A155" s="75"/>
      <c r="B155" s="76"/>
      <c r="C155" s="76"/>
      <c r="D155" s="76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customFormat="false" ht="15" hidden="false" customHeight="false" outlineLevel="0" collapsed="false">
      <c r="A156" s="75"/>
      <c r="B156" s="76"/>
      <c r="C156" s="76"/>
      <c r="D156" s="76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customFormat="false" ht="15" hidden="false" customHeight="false" outlineLevel="0" collapsed="false">
      <c r="A157" s="75"/>
      <c r="B157" s="76"/>
      <c r="C157" s="76"/>
      <c r="D157" s="76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customFormat="false" ht="15" hidden="false" customHeight="false" outlineLevel="0" collapsed="false">
      <c r="A158" s="75"/>
      <c r="B158" s="76"/>
      <c r="C158" s="76"/>
      <c r="D158" s="76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customFormat="false" ht="15" hidden="false" customHeight="false" outlineLevel="0" collapsed="false">
      <c r="A159" s="75"/>
      <c r="B159" s="76"/>
      <c r="C159" s="76"/>
      <c r="D159" s="76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customFormat="false" ht="15" hidden="false" customHeight="false" outlineLevel="0" collapsed="false">
      <c r="A160" s="75"/>
      <c r="B160" s="76"/>
      <c r="C160" s="76"/>
      <c r="D160" s="76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customFormat="false" ht="15" hidden="false" customHeight="false" outlineLevel="0" collapsed="false">
      <c r="A161" s="75"/>
      <c r="B161" s="76"/>
      <c r="C161" s="76"/>
      <c r="D161" s="76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customFormat="false" ht="15" hidden="false" customHeight="false" outlineLevel="0" collapsed="false">
      <c r="A162" s="75"/>
      <c r="B162" s="76"/>
      <c r="C162" s="76"/>
      <c r="D162" s="76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customFormat="false" ht="15" hidden="false" customHeight="false" outlineLevel="0" collapsed="false">
      <c r="A163" s="75"/>
      <c r="B163" s="76"/>
      <c r="C163" s="76"/>
      <c r="D163" s="76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customFormat="false" ht="15" hidden="false" customHeight="false" outlineLevel="0" collapsed="false">
      <c r="A164" s="75"/>
      <c r="B164" s="76"/>
      <c r="C164" s="76"/>
      <c r="D164" s="76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customFormat="false" ht="15" hidden="false" customHeight="false" outlineLevel="0" collapsed="false">
      <c r="A165" s="75"/>
      <c r="B165" s="76"/>
      <c r="C165" s="76"/>
      <c r="D165" s="76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customFormat="false" ht="15" hidden="false" customHeight="false" outlineLevel="0" collapsed="false">
      <c r="A166" s="75"/>
      <c r="B166" s="76"/>
      <c r="C166" s="76"/>
      <c r="D166" s="76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customFormat="false" ht="15" hidden="false" customHeight="false" outlineLevel="0" collapsed="false">
      <c r="A167" s="75"/>
      <c r="B167" s="76"/>
      <c r="C167" s="76"/>
      <c r="D167" s="76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customFormat="false" ht="15" hidden="false" customHeight="false" outlineLevel="0" collapsed="false">
      <c r="A168" s="75"/>
      <c r="B168" s="76"/>
      <c r="C168" s="76"/>
      <c r="D168" s="76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customFormat="false" ht="15" hidden="false" customHeight="false" outlineLevel="0" collapsed="false">
      <c r="A169" s="75"/>
      <c r="B169" s="76"/>
      <c r="C169" s="76"/>
      <c r="D169" s="76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customFormat="false" ht="15" hidden="false" customHeight="false" outlineLevel="0" collapsed="false">
      <c r="A170" s="75"/>
      <c r="B170" s="76"/>
      <c r="C170" s="76"/>
      <c r="D170" s="76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customFormat="false" ht="15" hidden="false" customHeight="false" outlineLevel="0" collapsed="false">
      <c r="A171" s="75"/>
      <c r="B171" s="76"/>
      <c r="C171" s="76"/>
      <c r="D171" s="76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customFormat="false" ht="15" hidden="false" customHeight="false" outlineLevel="0" collapsed="false">
      <c r="A172" s="75"/>
      <c r="B172" s="76"/>
      <c r="C172" s="76"/>
      <c r="D172" s="76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customFormat="false" ht="15" hidden="false" customHeight="false" outlineLevel="0" collapsed="false">
      <c r="A173" s="75"/>
      <c r="B173" s="76"/>
      <c r="C173" s="76"/>
      <c r="D173" s="76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customFormat="false" ht="15" hidden="false" customHeight="false" outlineLevel="0" collapsed="false">
      <c r="A174" s="75"/>
      <c r="B174" s="76"/>
      <c r="C174" s="76"/>
      <c r="D174" s="76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customFormat="false" ht="15" hidden="false" customHeight="false" outlineLevel="0" collapsed="false">
      <c r="A175" s="75"/>
      <c r="B175" s="76"/>
      <c r="C175" s="76"/>
      <c r="D175" s="76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customFormat="false" ht="15" hidden="false" customHeight="false" outlineLevel="0" collapsed="false">
      <c r="A176" s="75"/>
      <c r="B176" s="76"/>
      <c r="C176" s="76"/>
      <c r="D176" s="76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customFormat="false" ht="15" hidden="false" customHeight="false" outlineLevel="0" collapsed="false">
      <c r="A177" s="75"/>
      <c r="B177" s="76"/>
      <c r="C177" s="76"/>
      <c r="D177" s="76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customFormat="false" ht="15" hidden="false" customHeight="false" outlineLevel="0" collapsed="false">
      <c r="A178" s="75"/>
      <c r="B178" s="76"/>
      <c r="C178" s="76"/>
      <c r="D178" s="76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customFormat="false" ht="15" hidden="false" customHeight="false" outlineLevel="0" collapsed="false">
      <c r="A179" s="75"/>
      <c r="B179" s="76"/>
      <c r="C179" s="76"/>
      <c r="D179" s="76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customFormat="false" ht="15" hidden="false" customHeight="false" outlineLevel="0" collapsed="false">
      <c r="A180" s="75"/>
      <c r="B180" s="76"/>
      <c r="C180" s="76"/>
      <c r="D180" s="76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customFormat="false" ht="15" hidden="false" customHeight="false" outlineLevel="0" collapsed="false">
      <c r="A181" s="75"/>
      <c r="B181" s="76"/>
      <c r="C181" s="76"/>
      <c r="D181" s="76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customFormat="false" ht="15" hidden="false" customHeight="false" outlineLevel="0" collapsed="false">
      <c r="A182" s="75"/>
      <c r="B182" s="76"/>
      <c r="C182" s="76"/>
      <c r="D182" s="76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customFormat="false" ht="15" hidden="false" customHeight="false" outlineLevel="0" collapsed="false">
      <c r="A183" s="75"/>
      <c r="B183" s="76"/>
      <c r="C183" s="76"/>
      <c r="D183" s="76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customFormat="false" ht="15" hidden="false" customHeight="false" outlineLevel="0" collapsed="false">
      <c r="A184" s="75"/>
      <c r="B184" s="76"/>
      <c r="C184" s="76"/>
      <c r="D184" s="76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customFormat="false" ht="15" hidden="false" customHeight="false" outlineLevel="0" collapsed="false">
      <c r="A185" s="75"/>
      <c r="B185" s="76"/>
      <c r="C185" s="76"/>
      <c r="D185" s="76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customFormat="false" ht="15" hidden="false" customHeight="false" outlineLevel="0" collapsed="false">
      <c r="A186" s="75"/>
      <c r="B186" s="76"/>
      <c r="C186" s="76"/>
      <c r="D186" s="76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customFormat="false" ht="15" hidden="false" customHeight="false" outlineLevel="0" collapsed="false">
      <c r="A187" s="75"/>
      <c r="B187" s="76"/>
      <c r="C187" s="76"/>
      <c r="D187" s="76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customFormat="false" ht="15" hidden="false" customHeight="false" outlineLevel="0" collapsed="false">
      <c r="A188" s="75"/>
      <c r="B188" s="76"/>
      <c r="C188" s="76"/>
      <c r="D188" s="76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customFormat="false" ht="15" hidden="false" customHeight="false" outlineLevel="0" collapsed="false">
      <c r="A189" s="75"/>
      <c r="B189" s="76"/>
      <c r="C189" s="76"/>
      <c r="D189" s="76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customFormat="false" ht="15" hidden="false" customHeight="false" outlineLevel="0" collapsed="false">
      <c r="A190" s="75"/>
      <c r="B190" s="76"/>
      <c r="C190" s="76"/>
      <c r="D190" s="76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customFormat="false" ht="15" hidden="false" customHeight="false" outlineLevel="0" collapsed="false">
      <c r="A191" s="75"/>
      <c r="B191" s="76"/>
      <c r="C191" s="76"/>
      <c r="D191" s="76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customFormat="false" ht="15" hidden="false" customHeight="false" outlineLevel="0" collapsed="false">
      <c r="A192" s="75"/>
      <c r="B192" s="76"/>
      <c r="C192" s="76"/>
      <c r="D192" s="76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customFormat="false" ht="15" hidden="false" customHeight="false" outlineLevel="0" collapsed="false">
      <c r="A193" s="75"/>
      <c r="B193" s="76"/>
      <c r="C193" s="76"/>
      <c r="D193" s="76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customFormat="false" ht="15" hidden="false" customHeight="false" outlineLevel="0" collapsed="false">
      <c r="A194" s="75"/>
      <c r="B194" s="76"/>
      <c r="C194" s="76"/>
      <c r="D194" s="76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customFormat="false" ht="15" hidden="false" customHeight="false" outlineLevel="0" collapsed="false">
      <c r="A195" s="75"/>
      <c r="B195" s="76"/>
      <c r="C195" s="76"/>
      <c r="D195" s="76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customFormat="false" ht="15" hidden="false" customHeight="false" outlineLevel="0" collapsed="false">
      <c r="A196" s="75"/>
      <c r="B196" s="76"/>
      <c r="C196" s="76"/>
      <c r="D196" s="76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customFormat="false" ht="15" hidden="false" customHeight="false" outlineLevel="0" collapsed="false">
      <c r="A197" s="75"/>
      <c r="B197" s="76"/>
      <c r="C197" s="76"/>
      <c r="D197" s="76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customFormat="false" ht="15" hidden="false" customHeight="false" outlineLevel="0" collapsed="false">
      <c r="A198" s="75"/>
      <c r="B198" s="76"/>
      <c r="C198" s="76"/>
      <c r="D198" s="76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customFormat="false" ht="15" hidden="false" customHeight="false" outlineLevel="0" collapsed="false">
      <c r="A199" s="75"/>
      <c r="B199" s="76"/>
      <c r="C199" s="76"/>
      <c r="D199" s="76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customFormat="false" ht="15" hidden="false" customHeight="false" outlineLevel="0" collapsed="false">
      <c r="A200" s="75"/>
      <c r="B200" s="76"/>
      <c r="C200" s="76"/>
      <c r="D200" s="76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customFormat="false" ht="15" hidden="false" customHeight="false" outlineLevel="0" collapsed="false">
      <c r="A201" s="75"/>
      <c r="B201" s="76"/>
      <c r="C201" s="76"/>
      <c r="D201" s="76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customFormat="false" ht="15" hidden="false" customHeight="false" outlineLevel="0" collapsed="false">
      <c r="A202" s="75"/>
      <c r="B202" s="76"/>
      <c r="C202" s="76"/>
      <c r="D202" s="76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customFormat="false" ht="15" hidden="false" customHeight="false" outlineLevel="0" collapsed="false">
      <c r="A203" s="75"/>
      <c r="B203" s="76"/>
      <c r="C203" s="76"/>
      <c r="D203" s="76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customFormat="false" ht="15" hidden="false" customHeight="false" outlineLevel="0" collapsed="false">
      <c r="A204" s="75"/>
      <c r="B204" s="76"/>
      <c r="C204" s="76"/>
      <c r="D204" s="76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customFormat="false" ht="15" hidden="false" customHeight="false" outlineLevel="0" collapsed="false">
      <c r="A205" s="75"/>
      <c r="B205" s="76"/>
      <c r="C205" s="76"/>
      <c r="D205" s="76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customFormat="false" ht="15" hidden="false" customHeight="false" outlineLevel="0" collapsed="false">
      <c r="A206" s="75"/>
      <c r="B206" s="76"/>
      <c r="C206" s="76"/>
      <c r="D206" s="76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customFormat="false" ht="15" hidden="false" customHeight="false" outlineLevel="0" collapsed="false">
      <c r="A207" s="75"/>
      <c r="B207" s="76"/>
      <c r="C207" s="76"/>
      <c r="D207" s="76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customFormat="false" ht="15" hidden="false" customHeight="false" outlineLevel="0" collapsed="false">
      <c r="A208" s="75"/>
      <c r="B208" s="76"/>
      <c r="C208" s="76"/>
      <c r="D208" s="76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customFormat="false" ht="15" hidden="false" customHeight="false" outlineLevel="0" collapsed="false">
      <c r="A209" s="75"/>
      <c r="B209" s="76"/>
      <c r="C209" s="76"/>
      <c r="D209" s="76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customFormat="false" ht="15" hidden="false" customHeight="false" outlineLevel="0" collapsed="false">
      <c r="A210" s="75"/>
      <c r="B210" s="76"/>
      <c r="C210" s="76"/>
      <c r="D210" s="76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customFormat="false" ht="15" hidden="false" customHeight="false" outlineLevel="0" collapsed="false">
      <c r="A211" s="75"/>
      <c r="B211" s="76"/>
      <c r="C211" s="76"/>
      <c r="D211" s="76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customFormat="false" ht="15" hidden="false" customHeight="false" outlineLevel="0" collapsed="false">
      <c r="A212" s="75"/>
      <c r="B212" s="76"/>
      <c r="C212" s="76"/>
      <c r="D212" s="76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customFormat="false" ht="15" hidden="false" customHeight="false" outlineLevel="0" collapsed="false">
      <c r="A213" s="75"/>
      <c r="B213" s="76"/>
      <c r="C213" s="76"/>
      <c r="D213" s="76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customFormat="false" ht="15" hidden="false" customHeight="false" outlineLevel="0" collapsed="false">
      <c r="A214" s="75"/>
      <c r="B214" s="76"/>
      <c r="C214" s="76"/>
      <c r="D214" s="76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customFormat="false" ht="15" hidden="false" customHeight="false" outlineLevel="0" collapsed="false">
      <c r="A215" s="75"/>
      <c r="B215" s="76"/>
      <c r="C215" s="76"/>
      <c r="D215" s="76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customFormat="false" ht="15" hidden="false" customHeight="false" outlineLevel="0" collapsed="false">
      <c r="A216" s="75"/>
      <c r="B216" s="76"/>
      <c r="C216" s="76"/>
      <c r="D216" s="76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customFormat="false" ht="15" hidden="false" customHeight="false" outlineLevel="0" collapsed="false">
      <c r="A217" s="75"/>
      <c r="B217" s="76"/>
      <c r="C217" s="76"/>
      <c r="D217" s="76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customFormat="false" ht="15" hidden="false" customHeight="false" outlineLevel="0" collapsed="false">
      <c r="A218" s="75"/>
      <c r="B218" s="76"/>
      <c r="C218" s="76"/>
      <c r="D218" s="76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customFormat="false" ht="15" hidden="false" customHeight="false" outlineLevel="0" collapsed="false">
      <c r="A219" s="75"/>
      <c r="B219" s="76"/>
      <c r="C219" s="76"/>
      <c r="D219" s="76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customFormat="false" ht="15" hidden="false" customHeight="false" outlineLevel="0" collapsed="false">
      <c r="A220" s="75"/>
      <c r="B220" s="76"/>
      <c r="C220" s="76"/>
      <c r="D220" s="76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customFormat="false" ht="15" hidden="false" customHeight="false" outlineLevel="0" collapsed="false">
      <c r="A221" s="75"/>
      <c r="B221" s="76"/>
      <c r="C221" s="76"/>
      <c r="D221" s="76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customFormat="false" ht="15" hidden="false" customHeight="false" outlineLevel="0" collapsed="false">
      <c r="A222" s="75"/>
      <c r="B222" s="76"/>
      <c r="C222" s="76"/>
      <c r="D222" s="76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customFormat="false" ht="15" hidden="false" customHeight="false" outlineLevel="0" collapsed="false">
      <c r="A223" s="75"/>
      <c r="B223" s="76"/>
      <c r="C223" s="76"/>
      <c r="D223" s="76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customFormat="false" ht="15" hidden="false" customHeight="false" outlineLevel="0" collapsed="false">
      <c r="A224" s="75"/>
      <c r="B224" s="76"/>
      <c r="C224" s="76"/>
      <c r="D224" s="76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customFormat="false" ht="15" hidden="false" customHeight="false" outlineLevel="0" collapsed="false">
      <c r="A225" s="75"/>
      <c r="B225" s="76"/>
      <c r="C225" s="76"/>
      <c r="D225" s="76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customFormat="false" ht="15" hidden="false" customHeight="false" outlineLevel="0" collapsed="false">
      <c r="A226" s="75"/>
      <c r="B226" s="76"/>
      <c r="C226" s="76"/>
      <c r="D226" s="76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customFormat="false" ht="15" hidden="false" customHeight="false" outlineLevel="0" collapsed="false">
      <c r="A227" s="75"/>
      <c r="B227" s="76"/>
      <c r="C227" s="76"/>
      <c r="D227" s="76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customFormat="false" ht="15" hidden="false" customHeight="false" outlineLevel="0" collapsed="false">
      <c r="A228" s="75"/>
      <c r="B228" s="76"/>
      <c r="C228" s="76"/>
      <c r="D228" s="76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customFormat="false" ht="15" hidden="false" customHeight="false" outlineLevel="0" collapsed="false">
      <c r="A229" s="75"/>
      <c r="B229" s="76"/>
      <c r="C229" s="76"/>
      <c r="D229" s="76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customFormat="false" ht="15" hidden="false" customHeight="false" outlineLevel="0" collapsed="false">
      <c r="A230" s="75"/>
      <c r="B230" s="76"/>
      <c r="C230" s="76"/>
      <c r="D230" s="76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customFormat="false" ht="15" hidden="false" customHeight="false" outlineLevel="0" collapsed="false">
      <c r="A231" s="75"/>
      <c r="B231" s="76"/>
      <c r="C231" s="76"/>
      <c r="D231" s="76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customFormat="false" ht="15" hidden="false" customHeight="false" outlineLevel="0" collapsed="false">
      <c r="A232" s="75"/>
      <c r="B232" s="76"/>
      <c r="C232" s="76"/>
      <c r="D232" s="76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customFormat="false" ht="15" hidden="false" customHeight="false" outlineLevel="0" collapsed="false">
      <c r="A233" s="75"/>
      <c r="B233" s="76"/>
      <c r="C233" s="76"/>
      <c r="D233" s="76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customFormat="false" ht="15" hidden="false" customHeight="false" outlineLevel="0" collapsed="false">
      <c r="A234" s="75"/>
      <c r="B234" s="76"/>
      <c r="C234" s="76"/>
      <c r="D234" s="76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customFormat="false" ht="15" hidden="false" customHeight="false" outlineLevel="0" collapsed="false">
      <c r="A235" s="75"/>
      <c r="B235" s="76"/>
      <c r="C235" s="76"/>
      <c r="D235" s="76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customFormat="false" ht="15" hidden="false" customHeight="false" outlineLevel="0" collapsed="false">
      <c r="A236" s="75"/>
      <c r="B236" s="76"/>
      <c r="C236" s="76"/>
      <c r="D236" s="76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customFormat="false" ht="15" hidden="false" customHeight="false" outlineLevel="0" collapsed="false">
      <c r="A237" s="75"/>
      <c r="B237" s="76"/>
      <c r="C237" s="76"/>
      <c r="D237" s="76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customFormat="false" ht="15" hidden="false" customHeight="false" outlineLevel="0" collapsed="false">
      <c r="A238" s="75"/>
      <c r="B238" s="76"/>
      <c r="C238" s="76"/>
      <c r="D238" s="76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customFormat="false" ht="15" hidden="false" customHeight="false" outlineLevel="0" collapsed="false">
      <c r="A239" s="75"/>
      <c r="B239" s="76"/>
      <c r="C239" s="76"/>
      <c r="D239" s="76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customFormat="false" ht="15" hidden="false" customHeight="false" outlineLevel="0" collapsed="false">
      <c r="A240" s="75"/>
      <c r="B240" s="76"/>
      <c r="C240" s="76"/>
      <c r="D240" s="76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customFormat="false" ht="15" hidden="false" customHeight="false" outlineLevel="0" collapsed="false">
      <c r="A241" s="75"/>
      <c r="B241" s="76"/>
      <c r="C241" s="76"/>
      <c r="D241" s="76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customFormat="false" ht="15" hidden="false" customHeight="false" outlineLevel="0" collapsed="false">
      <c r="A242" s="75"/>
      <c r="B242" s="76"/>
      <c r="C242" s="76"/>
      <c r="D242" s="76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customFormat="false" ht="15" hidden="false" customHeight="false" outlineLevel="0" collapsed="false">
      <c r="A243" s="75"/>
      <c r="B243" s="76"/>
      <c r="C243" s="76"/>
      <c r="D243" s="76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customFormat="false" ht="15" hidden="false" customHeight="false" outlineLevel="0" collapsed="false">
      <c r="A244" s="75"/>
      <c r="B244" s="76"/>
      <c r="C244" s="76"/>
      <c r="D244" s="76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customFormat="false" ht="15" hidden="false" customHeight="false" outlineLevel="0" collapsed="false">
      <c r="A245" s="75"/>
      <c r="B245" s="76"/>
      <c r="C245" s="76"/>
      <c r="D245" s="76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customFormat="false" ht="15" hidden="false" customHeight="false" outlineLevel="0" collapsed="false">
      <c r="A246" s="75"/>
      <c r="B246" s="76"/>
      <c r="C246" s="76"/>
      <c r="D246" s="76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customFormat="false" ht="15" hidden="false" customHeight="false" outlineLevel="0" collapsed="false">
      <c r="A247" s="75"/>
      <c r="B247" s="76"/>
      <c r="C247" s="76"/>
      <c r="D247" s="76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customFormat="false" ht="15" hidden="false" customHeight="false" outlineLevel="0" collapsed="false">
      <c r="A248" s="75"/>
      <c r="B248" s="76"/>
      <c r="C248" s="76"/>
      <c r="D248" s="76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customFormat="false" ht="15" hidden="false" customHeight="false" outlineLevel="0" collapsed="false">
      <c r="A249" s="75"/>
      <c r="B249" s="76"/>
      <c r="C249" s="76"/>
      <c r="D249" s="76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customFormat="false" ht="15" hidden="false" customHeight="false" outlineLevel="0" collapsed="false">
      <c r="A250" s="75"/>
      <c r="B250" s="76"/>
      <c r="C250" s="76"/>
      <c r="D250" s="76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customFormat="false" ht="15" hidden="false" customHeight="false" outlineLevel="0" collapsed="false">
      <c r="A251" s="75"/>
      <c r="B251" s="76"/>
      <c r="C251" s="76"/>
      <c r="D251" s="76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customFormat="false" ht="15" hidden="false" customHeight="false" outlineLevel="0" collapsed="false">
      <c r="A252" s="75"/>
      <c r="B252" s="76"/>
      <c r="C252" s="76"/>
      <c r="D252" s="76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customFormat="false" ht="15" hidden="false" customHeight="false" outlineLevel="0" collapsed="false">
      <c r="A253" s="75"/>
      <c r="B253" s="76"/>
      <c r="C253" s="76"/>
      <c r="D253" s="76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customFormat="false" ht="15" hidden="false" customHeight="false" outlineLevel="0" collapsed="false">
      <c r="A254" s="75"/>
      <c r="B254" s="76"/>
      <c r="C254" s="76"/>
      <c r="D254" s="76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customFormat="false" ht="15" hidden="false" customHeight="false" outlineLevel="0" collapsed="false">
      <c r="A255" s="75"/>
      <c r="B255" s="76"/>
      <c r="C255" s="76"/>
      <c r="D255" s="76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customFormat="false" ht="15" hidden="false" customHeight="false" outlineLevel="0" collapsed="false">
      <c r="A256" s="75"/>
      <c r="B256" s="76"/>
      <c r="C256" s="76"/>
      <c r="D256" s="76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customFormat="false" ht="15" hidden="false" customHeight="false" outlineLevel="0" collapsed="false">
      <c r="A257" s="75"/>
      <c r="B257" s="76"/>
      <c r="C257" s="76"/>
      <c r="D257" s="76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customFormat="false" ht="15" hidden="false" customHeight="false" outlineLevel="0" collapsed="false">
      <c r="A258" s="75"/>
      <c r="B258" s="76"/>
      <c r="C258" s="76"/>
      <c r="D258" s="76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customFormat="false" ht="15" hidden="false" customHeight="false" outlineLevel="0" collapsed="false">
      <c r="A259" s="75"/>
      <c r="B259" s="76"/>
      <c r="C259" s="76"/>
      <c r="D259" s="76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customFormat="false" ht="15" hidden="false" customHeight="false" outlineLevel="0" collapsed="false">
      <c r="A260" s="75"/>
      <c r="B260" s="76"/>
      <c r="C260" s="76"/>
      <c r="D260" s="76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customFormat="false" ht="15" hidden="false" customHeight="false" outlineLevel="0" collapsed="false">
      <c r="A261" s="75"/>
      <c r="B261" s="76"/>
      <c r="C261" s="76"/>
      <c r="D261" s="76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customFormat="false" ht="15" hidden="false" customHeight="false" outlineLevel="0" collapsed="false">
      <c r="A262" s="75"/>
      <c r="B262" s="76"/>
      <c r="C262" s="76"/>
      <c r="D262" s="76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customFormat="false" ht="15" hidden="false" customHeight="false" outlineLevel="0" collapsed="false">
      <c r="A263" s="75"/>
      <c r="B263" s="76"/>
      <c r="C263" s="76"/>
      <c r="D263" s="76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customFormat="false" ht="15" hidden="false" customHeight="false" outlineLevel="0" collapsed="false">
      <c r="A264" s="75"/>
      <c r="B264" s="76"/>
      <c r="C264" s="76"/>
      <c r="D264" s="76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customFormat="false" ht="15" hidden="false" customHeight="false" outlineLevel="0" collapsed="false">
      <c r="A265" s="75"/>
      <c r="B265" s="76"/>
      <c r="C265" s="76"/>
      <c r="D265" s="76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customFormat="false" ht="15" hidden="false" customHeight="false" outlineLevel="0" collapsed="false">
      <c r="A266" s="75"/>
      <c r="B266" s="76"/>
      <c r="C266" s="76"/>
      <c r="D266" s="76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customFormat="false" ht="15" hidden="false" customHeight="false" outlineLevel="0" collapsed="false">
      <c r="A267" s="75"/>
      <c r="B267" s="76"/>
      <c r="C267" s="76"/>
      <c r="D267" s="76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customFormat="false" ht="15" hidden="false" customHeight="false" outlineLevel="0" collapsed="false">
      <c r="A268" s="75"/>
      <c r="B268" s="76"/>
      <c r="C268" s="76"/>
      <c r="D268" s="76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customFormat="false" ht="15" hidden="false" customHeight="false" outlineLevel="0" collapsed="false">
      <c r="A269" s="75"/>
      <c r="B269" s="76"/>
      <c r="C269" s="76"/>
      <c r="D269" s="76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customFormat="false" ht="15" hidden="false" customHeight="false" outlineLevel="0" collapsed="false">
      <c r="A270" s="75"/>
      <c r="B270" s="76"/>
      <c r="C270" s="76"/>
      <c r="D270" s="76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customFormat="false" ht="15" hidden="false" customHeight="false" outlineLevel="0" collapsed="false">
      <c r="A271" s="75"/>
      <c r="B271" s="76"/>
      <c r="C271" s="76"/>
      <c r="D271" s="76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customFormat="false" ht="15" hidden="false" customHeight="false" outlineLevel="0" collapsed="false">
      <c r="A272" s="75"/>
      <c r="B272" s="76"/>
      <c r="C272" s="76"/>
      <c r="D272" s="76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customFormat="false" ht="15" hidden="false" customHeight="false" outlineLevel="0" collapsed="false">
      <c r="A273" s="75"/>
      <c r="B273" s="76"/>
      <c r="C273" s="76"/>
      <c r="D273" s="76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customFormat="false" ht="15" hidden="false" customHeight="false" outlineLevel="0" collapsed="false">
      <c r="A274" s="75"/>
      <c r="B274" s="76"/>
      <c r="C274" s="76"/>
      <c r="D274" s="76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customFormat="false" ht="15" hidden="false" customHeight="false" outlineLevel="0" collapsed="false">
      <c r="A275" s="75"/>
      <c r="B275" s="76"/>
      <c r="C275" s="76"/>
      <c r="D275" s="76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customFormat="false" ht="15" hidden="false" customHeight="false" outlineLevel="0" collapsed="false">
      <c r="A276" s="75"/>
      <c r="B276" s="76"/>
      <c r="C276" s="76"/>
      <c r="D276" s="76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customFormat="false" ht="15" hidden="false" customHeight="false" outlineLevel="0" collapsed="false">
      <c r="A277" s="75"/>
      <c r="B277" s="76"/>
      <c r="C277" s="76"/>
      <c r="D277" s="76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customFormat="false" ht="15" hidden="false" customHeight="false" outlineLevel="0" collapsed="false">
      <c r="A278" s="75"/>
      <c r="B278" s="76"/>
      <c r="C278" s="76"/>
      <c r="D278" s="76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customFormat="false" ht="15" hidden="false" customHeight="false" outlineLevel="0" collapsed="false">
      <c r="A279" s="75"/>
      <c r="B279" s="76"/>
      <c r="C279" s="76"/>
      <c r="D279" s="76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customFormat="false" ht="15" hidden="false" customHeight="false" outlineLevel="0" collapsed="false">
      <c r="A280" s="75"/>
      <c r="B280" s="76"/>
      <c r="C280" s="76"/>
      <c r="D280" s="76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customFormat="false" ht="15" hidden="false" customHeight="false" outlineLevel="0" collapsed="false">
      <c r="A281" s="75"/>
      <c r="B281" s="76"/>
      <c r="C281" s="76"/>
      <c r="D281" s="76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customFormat="false" ht="15" hidden="false" customHeight="false" outlineLevel="0" collapsed="false">
      <c r="A282" s="75"/>
      <c r="B282" s="76"/>
      <c r="C282" s="76"/>
      <c r="D282" s="76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customFormat="false" ht="15" hidden="false" customHeight="false" outlineLevel="0" collapsed="false">
      <c r="A283" s="75"/>
      <c r="B283" s="76"/>
      <c r="C283" s="76"/>
      <c r="D283" s="76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customFormat="false" ht="15" hidden="false" customHeight="false" outlineLevel="0" collapsed="false">
      <c r="A284" s="75"/>
      <c r="B284" s="76"/>
      <c r="C284" s="76"/>
      <c r="D284" s="76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customFormat="false" ht="15" hidden="false" customHeight="false" outlineLevel="0" collapsed="false">
      <c r="A285" s="75"/>
      <c r="B285" s="76"/>
      <c r="C285" s="76"/>
      <c r="D285" s="76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customFormat="false" ht="15" hidden="false" customHeight="false" outlineLevel="0" collapsed="false">
      <c r="A286" s="75"/>
      <c r="B286" s="76"/>
      <c r="C286" s="76"/>
      <c r="D286" s="76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customFormat="false" ht="15" hidden="false" customHeight="false" outlineLevel="0" collapsed="false">
      <c r="A287" s="75"/>
      <c r="B287" s="76"/>
      <c r="C287" s="76"/>
      <c r="D287" s="76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customFormat="false" ht="15" hidden="false" customHeight="false" outlineLevel="0" collapsed="false">
      <c r="A288" s="75"/>
      <c r="B288" s="76"/>
      <c r="C288" s="76"/>
      <c r="D288" s="76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customFormat="false" ht="15" hidden="false" customHeight="false" outlineLevel="0" collapsed="false">
      <c r="A289" s="75"/>
      <c r="B289" s="76"/>
      <c r="C289" s="76"/>
      <c r="D289" s="76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customFormat="false" ht="15" hidden="false" customHeight="false" outlineLevel="0" collapsed="false">
      <c r="A290" s="75"/>
      <c r="B290" s="76"/>
      <c r="C290" s="76"/>
      <c r="D290" s="76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customFormat="false" ht="15" hidden="false" customHeight="false" outlineLevel="0" collapsed="false">
      <c r="A291" s="75"/>
      <c r="B291" s="76"/>
      <c r="C291" s="76"/>
      <c r="D291" s="76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customFormat="false" ht="15" hidden="false" customHeight="false" outlineLevel="0" collapsed="false">
      <c r="A292" s="75"/>
      <c r="B292" s="76"/>
      <c r="C292" s="76"/>
      <c r="D292" s="76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customFormat="false" ht="15" hidden="false" customHeight="false" outlineLevel="0" collapsed="false">
      <c r="A293" s="75"/>
      <c r="B293" s="76"/>
      <c r="C293" s="76"/>
      <c r="D293" s="76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customFormat="false" ht="15" hidden="false" customHeight="false" outlineLevel="0" collapsed="false">
      <c r="A294" s="75"/>
      <c r="B294" s="76"/>
      <c r="C294" s="76"/>
      <c r="D294" s="76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customFormat="false" ht="15" hidden="false" customHeight="false" outlineLevel="0" collapsed="false">
      <c r="A295" s="75"/>
      <c r="B295" s="76"/>
      <c r="C295" s="76"/>
      <c r="D295" s="76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customFormat="false" ht="15" hidden="false" customHeight="false" outlineLevel="0" collapsed="false">
      <c r="A296" s="75"/>
      <c r="B296" s="76"/>
      <c r="C296" s="76"/>
      <c r="D296" s="76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customFormat="false" ht="15" hidden="false" customHeight="false" outlineLevel="0" collapsed="false">
      <c r="A297" s="75"/>
      <c r="B297" s="76"/>
      <c r="C297" s="76"/>
      <c r="D297" s="76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customFormat="false" ht="15" hidden="false" customHeight="false" outlineLevel="0" collapsed="false">
      <c r="A298" s="75"/>
      <c r="B298" s="76"/>
      <c r="C298" s="76"/>
      <c r="D298" s="76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customFormat="false" ht="15" hidden="false" customHeight="false" outlineLevel="0" collapsed="false">
      <c r="A299" s="75"/>
      <c r="B299" s="76"/>
      <c r="C299" s="76"/>
      <c r="D299" s="76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customFormat="false" ht="15" hidden="false" customHeight="false" outlineLevel="0" collapsed="false">
      <c r="A300" s="75"/>
      <c r="B300" s="76"/>
      <c r="C300" s="76"/>
      <c r="D300" s="76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customFormat="false" ht="15" hidden="false" customHeight="false" outlineLevel="0" collapsed="false">
      <c r="A301" s="75"/>
      <c r="B301" s="76"/>
      <c r="C301" s="76"/>
      <c r="D301" s="76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customFormat="false" ht="15" hidden="false" customHeight="false" outlineLevel="0" collapsed="false">
      <c r="A302" s="75"/>
      <c r="B302" s="76"/>
      <c r="C302" s="76"/>
      <c r="D302" s="76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customFormat="false" ht="15" hidden="false" customHeight="false" outlineLevel="0" collapsed="false">
      <c r="A303" s="75"/>
      <c r="B303" s="76"/>
      <c r="C303" s="76"/>
      <c r="D303" s="76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customFormat="false" ht="15" hidden="false" customHeight="false" outlineLevel="0" collapsed="false">
      <c r="A304" s="75"/>
      <c r="B304" s="76"/>
      <c r="C304" s="76"/>
      <c r="D304" s="76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customFormat="false" ht="15" hidden="false" customHeight="false" outlineLevel="0" collapsed="false">
      <c r="A305" s="75"/>
      <c r="B305" s="76"/>
      <c r="C305" s="76"/>
      <c r="D305" s="76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customFormat="false" ht="15" hidden="false" customHeight="false" outlineLevel="0" collapsed="false">
      <c r="A306" s="75"/>
      <c r="B306" s="76"/>
      <c r="C306" s="76"/>
      <c r="D306" s="76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customFormat="false" ht="15" hidden="false" customHeight="false" outlineLevel="0" collapsed="false">
      <c r="A307" s="75"/>
      <c r="B307" s="76"/>
      <c r="C307" s="76"/>
      <c r="D307" s="76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customFormat="false" ht="15" hidden="false" customHeight="false" outlineLevel="0" collapsed="false">
      <c r="A308" s="75"/>
      <c r="B308" s="76"/>
      <c r="C308" s="76"/>
      <c r="D308" s="76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customFormat="false" ht="15" hidden="false" customHeight="false" outlineLevel="0" collapsed="false">
      <c r="A309" s="75"/>
      <c r="B309" s="76"/>
      <c r="C309" s="76"/>
      <c r="D309" s="76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customFormat="false" ht="15" hidden="false" customHeight="false" outlineLevel="0" collapsed="false">
      <c r="A310" s="75"/>
      <c r="B310" s="76"/>
      <c r="C310" s="76"/>
      <c r="D310" s="76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customFormat="false" ht="15" hidden="false" customHeight="false" outlineLevel="0" collapsed="false">
      <c r="A311" s="75"/>
      <c r="B311" s="76"/>
      <c r="C311" s="76"/>
      <c r="D311" s="76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customFormat="false" ht="15" hidden="false" customHeight="false" outlineLevel="0" collapsed="false">
      <c r="A312" s="75"/>
      <c r="B312" s="76"/>
      <c r="C312" s="76"/>
      <c r="D312" s="76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customFormat="false" ht="15" hidden="false" customHeight="false" outlineLevel="0" collapsed="false">
      <c r="A313" s="75"/>
      <c r="B313" s="76"/>
      <c r="C313" s="76"/>
      <c r="D313" s="76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customFormat="false" ht="15" hidden="false" customHeight="false" outlineLevel="0" collapsed="false">
      <c r="A314" s="75"/>
      <c r="B314" s="76"/>
      <c r="C314" s="76"/>
      <c r="D314" s="76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customFormat="false" ht="15" hidden="false" customHeight="false" outlineLevel="0" collapsed="false">
      <c r="A315" s="75"/>
      <c r="B315" s="76"/>
      <c r="C315" s="76"/>
      <c r="D315" s="76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customFormat="false" ht="15" hidden="false" customHeight="false" outlineLevel="0" collapsed="false">
      <c r="A316" s="75"/>
      <c r="B316" s="76"/>
      <c r="C316" s="76"/>
      <c r="D316" s="76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customFormat="false" ht="15" hidden="false" customHeight="false" outlineLevel="0" collapsed="false">
      <c r="A317" s="75"/>
      <c r="B317" s="76"/>
      <c r="C317" s="76"/>
      <c r="D317" s="76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customFormat="false" ht="15" hidden="false" customHeight="false" outlineLevel="0" collapsed="false">
      <c r="A318" s="75"/>
      <c r="B318" s="76"/>
      <c r="C318" s="76"/>
      <c r="D318" s="76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customFormat="false" ht="15" hidden="false" customHeight="false" outlineLevel="0" collapsed="false">
      <c r="A319" s="75"/>
      <c r="B319" s="76"/>
      <c r="C319" s="76"/>
      <c r="D319" s="76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customFormat="false" ht="15" hidden="false" customHeight="false" outlineLevel="0" collapsed="false">
      <c r="A320" s="75"/>
      <c r="B320" s="76"/>
      <c r="C320" s="76"/>
      <c r="D320" s="76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customFormat="false" ht="15" hidden="false" customHeight="false" outlineLevel="0" collapsed="false">
      <c r="A321" s="75"/>
      <c r="B321" s="76"/>
      <c r="C321" s="76"/>
      <c r="D321" s="76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customFormat="false" ht="15" hidden="false" customHeight="false" outlineLevel="0" collapsed="false">
      <c r="A322" s="75"/>
      <c r="B322" s="76"/>
      <c r="C322" s="76"/>
      <c r="D322" s="76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customFormat="false" ht="15" hidden="false" customHeight="false" outlineLevel="0" collapsed="false">
      <c r="A323" s="75"/>
      <c r="B323" s="76"/>
      <c r="C323" s="76"/>
      <c r="D323" s="76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customFormat="false" ht="15" hidden="false" customHeight="false" outlineLevel="0" collapsed="false">
      <c r="A324" s="75"/>
      <c r="B324" s="76"/>
      <c r="C324" s="76"/>
      <c r="D324" s="76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customFormat="false" ht="15" hidden="false" customHeight="false" outlineLevel="0" collapsed="false">
      <c r="A325" s="75"/>
      <c r="B325" s="76"/>
      <c r="C325" s="76"/>
      <c r="D325" s="76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customFormat="false" ht="15" hidden="false" customHeight="false" outlineLevel="0" collapsed="false">
      <c r="A326" s="75"/>
      <c r="B326" s="76"/>
      <c r="C326" s="76"/>
      <c r="D326" s="76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customFormat="false" ht="15" hidden="false" customHeight="false" outlineLevel="0" collapsed="false">
      <c r="A327" s="75"/>
      <c r="B327" s="76"/>
      <c r="C327" s="76"/>
      <c r="D327" s="76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customFormat="false" ht="15" hidden="false" customHeight="false" outlineLevel="0" collapsed="false">
      <c r="A328" s="75"/>
      <c r="B328" s="76"/>
      <c r="C328" s="76"/>
      <c r="D328" s="76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customFormat="false" ht="15" hidden="false" customHeight="false" outlineLevel="0" collapsed="false">
      <c r="A329" s="75"/>
      <c r="B329" s="76"/>
      <c r="C329" s="76"/>
      <c r="D329" s="76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customFormat="false" ht="15" hidden="false" customHeight="false" outlineLevel="0" collapsed="false">
      <c r="A330" s="75"/>
      <c r="B330" s="76"/>
      <c r="C330" s="76"/>
      <c r="D330" s="76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customFormat="false" ht="15" hidden="false" customHeight="false" outlineLevel="0" collapsed="false">
      <c r="A331" s="75"/>
      <c r="B331" s="76"/>
      <c r="C331" s="76"/>
      <c r="D331" s="76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customFormat="false" ht="15" hidden="false" customHeight="false" outlineLevel="0" collapsed="false">
      <c r="A332" s="75"/>
      <c r="B332" s="76"/>
      <c r="C332" s="76"/>
      <c r="D332" s="76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customFormat="false" ht="15" hidden="false" customHeight="false" outlineLevel="0" collapsed="false">
      <c r="A333" s="75"/>
      <c r="B333" s="76"/>
      <c r="C333" s="76"/>
      <c r="D333" s="76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customFormat="false" ht="15" hidden="false" customHeight="false" outlineLevel="0" collapsed="false">
      <c r="A334" s="75"/>
      <c r="B334" s="76"/>
      <c r="C334" s="76"/>
      <c r="D334" s="76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customFormat="false" ht="15" hidden="false" customHeight="false" outlineLevel="0" collapsed="false">
      <c r="A335" s="75"/>
      <c r="B335" s="76"/>
      <c r="C335" s="76"/>
      <c r="D335" s="76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customFormat="false" ht="15" hidden="false" customHeight="false" outlineLevel="0" collapsed="false">
      <c r="A336" s="75"/>
      <c r="B336" s="76"/>
      <c r="C336" s="76"/>
      <c r="D336" s="76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customFormat="false" ht="15" hidden="false" customHeight="false" outlineLevel="0" collapsed="false">
      <c r="A337" s="75"/>
      <c r="B337" s="76"/>
      <c r="C337" s="76"/>
      <c r="D337" s="76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customFormat="false" ht="15" hidden="false" customHeight="false" outlineLevel="0" collapsed="false">
      <c r="A338" s="75"/>
      <c r="B338" s="76"/>
      <c r="C338" s="76"/>
      <c r="D338" s="76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customFormat="false" ht="15" hidden="false" customHeight="false" outlineLevel="0" collapsed="false">
      <c r="A339" s="75"/>
      <c r="B339" s="76"/>
      <c r="C339" s="76"/>
      <c r="D339" s="76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customFormat="false" ht="15" hidden="false" customHeight="false" outlineLevel="0" collapsed="false">
      <c r="A340" s="75"/>
      <c r="B340" s="76"/>
      <c r="C340" s="76"/>
      <c r="D340" s="76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customFormat="false" ht="15" hidden="false" customHeight="false" outlineLevel="0" collapsed="false">
      <c r="A341" s="75"/>
      <c r="B341" s="76"/>
      <c r="C341" s="76"/>
      <c r="D341" s="76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customFormat="false" ht="15" hidden="false" customHeight="false" outlineLevel="0" collapsed="false">
      <c r="A342" s="75"/>
      <c r="B342" s="76"/>
      <c r="C342" s="76"/>
      <c r="D342" s="76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customFormat="false" ht="15" hidden="false" customHeight="false" outlineLevel="0" collapsed="false">
      <c r="A343" s="75"/>
      <c r="B343" s="76"/>
      <c r="C343" s="76"/>
      <c r="D343" s="76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customFormat="false" ht="15" hidden="false" customHeight="false" outlineLevel="0" collapsed="false">
      <c r="A344" s="75"/>
      <c r="B344" s="76"/>
      <c r="C344" s="76"/>
      <c r="D344" s="76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customFormat="false" ht="15" hidden="false" customHeight="false" outlineLevel="0" collapsed="false">
      <c r="A345" s="75"/>
      <c r="B345" s="76"/>
      <c r="C345" s="76"/>
      <c r="D345" s="76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customFormat="false" ht="15" hidden="false" customHeight="false" outlineLevel="0" collapsed="false">
      <c r="A346" s="75"/>
      <c r="B346" s="76"/>
      <c r="C346" s="76"/>
      <c r="D346" s="76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customFormat="false" ht="15" hidden="false" customHeight="false" outlineLevel="0" collapsed="false">
      <c r="A347" s="75"/>
      <c r="B347" s="76"/>
      <c r="C347" s="76"/>
      <c r="D347" s="76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customFormat="false" ht="15" hidden="false" customHeight="false" outlineLevel="0" collapsed="false">
      <c r="A348" s="75"/>
      <c r="B348" s="76"/>
      <c r="C348" s="76"/>
      <c r="D348" s="76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customFormat="false" ht="15" hidden="false" customHeight="false" outlineLevel="0" collapsed="false">
      <c r="A349" s="75"/>
      <c r="B349" s="76"/>
      <c r="C349" s="76"/>
      <c r="D349" s="76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customFormat="false" ht="15" hidden="false" customHeight="false" outlineLevel="0" collapsed="false">
      <c r="A350" s="75"/>
      <c r="B350" s="76"/>
      <c r="C350" s="76"/>
      <c r="D350" s="76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customFormat="false" ht="15" hidden="false" customHeight="false" outlineLevel="0" collapsed="false">
      <c r="A351" s="75"/>
      <c r="B351" s="76"/>
      <c r="C351" s="76"/>
      <c r="D351" s="76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customFormat="false" ht="15" hidden="false" customHeight="false" outlineLevel="0" collapsed="false">
      <c r="A352" s="75"/>
      <c r="B352" s="76"/>
      <c r="C352" s="76"/>
      <c r="D352" s="76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customFormat="false" ht="15" hidden="false" customHeight="false" outlineLevel="0" collapsed="false">
      <c r="A353" s="75"/>
      <c r="B353" s="76"/>
      <c r="C353" s="76"/>
      <c r="D353" s="76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customFormat="false" ht="15" hidden="false" customHeight="false" outlineLevel="0" collapsed="false">
      <c r="A354" s="75"/>
      <c r="B354" s="76"/>
      <c r="C354" s="76"/>
      <c r="D354" s="76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customFormat="false" ht="15" hidden="false" customHeight="false" outlineLevel="0" collapsed="false">
      <c r="A355" s="75"/>
      <c r="B355" s="76"/>
      <c r="C355" s="76"/>
      <c r="D355" s="76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customFormat="false" ht="15" hidden="false" customHeight="false" outlineLevel="0" collapsed="false">
      <c r="A356" s="75"/>
      <c r="B356" s="76"/>
      <c r="C356" s="76"/>
      <c r="D356" s="76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customFormat="false" ht="15" hidden="false" customHeight="false" outlineLevel="0" collapsed="false">
      <c r="A357" s="75"/>
      <c r="B357" s="76"/>
      <c r="C357" s="76"/>
      <c r="D357" s="76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customFormat="false" ht="15" hidden="false" customHeight="false" outlineLevel="0" collapsed="false">
      <c r="A358" s="75"/>
      <c r="B358" s="76"/>
      <c r="C358" s="76"/>
      <c r="D358" s="76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customFormat="false" ht="15" hidden="false" customHeight="false" outlineLevel="0" collapsed="false">
      <c r="A359" s="75"/>
      <c r="B359" s="76"/>
      <c r="C359" s="76"/>
      <c r="D359" s="76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customFormat="false" ht="15" hidden="false" customHeight="false" outlineLevel="0" collapsed="false">
      <c r="A360" s="75"/>
      <c r="B360" s="76"/>
      <c r="C360" s="76"/>
      <c r="D360" s="76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customFormat="false" ht="15" hidden="false" customHeight="false" outlineLevel="0" collapsed="false">
      <c r="A361" s="75"/>
      <c r="B361" s="76"/>
      <c r="C361" s="76"/>
      <c r="D361" s="76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customFormat="false" ht="15" hidden="false" customHeight="false" outlineLevel="0" collapsed="false">
      <c r="A362" s="75"/>
      <c r="B362" s="76"/>
      <c r="C362" s="76"/>
      <c r="D362" s="76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customFormat="false" ht="15" hidden="false" customHeight="false" outlineLevel="0" collapsed="false">
      <c r="A363" s="75"/>
      <c r="B363" s="76"/>
      <c r="C363" s="76"/>
      <c r="D363" s="76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customFormat="false" ht="15" hidden="false" customHeight="false" outlineLevel="0" collapsed="false">
      <c r="A364" s="75"/>
      <c r="B364" s="76"/>
      <c r="C364" s="76"/>
      <c r="D364" s="76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customFormat="false" ht="15" hidden="false" customHeight="false" outlineLevel="0" collapsed="false">
      <c r="A365" s="75"/>
      <c r="B365" s="76"/>
      <c r="C365" s="76"/>
      <c r="D365" s="76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customFormat="false" ht="15" hidden="false" customHeight="false" outlineLevel="0" collapsed="false">
      <c r="A366" s="75"/>
      <c r="B366" s="76"/>
      <c r="C366" s="76"/>
      <c r="D366" s="76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customFormat="false" ht="15" hidden="false" customHeight="false" outlineLevel="0" collapsed="false">
      <c r="A367" s="75"/>
      <c r="B367" s="76"/>
      <c r="C367" s="76"/>
      <c r="D367" s="76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customFormat="false" ht="15" hidden="false" customHeight="false" outlineLevel="0" collapsed="false">
      <c r="A368" s="75"/>
      <c r="B368" s="76"/>
      <c r="C368" s="76"/>
      <c r="D368" s="76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customFormat="false" ht="15" hidden="false" customHeight="false" outlineLevel="0" collapsed="false">
      <c r="A369" s="75"/>
      <c r="B369" s="76"/>
      <c r="C369" s="76"/>
      <c r="D369" s="76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customFormat="false" ht="15" hidden="false" customHeight="false" outlineLevel="0" collapsed="false">
      <c r="A370" s="75"/>
      <c r="B370" s="76"/>
      <c r="C370" s="76"/>
      <c r="D370" s="76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customFormat="false" ht="15" hidden="false" customHeight="false" outlineLevel="0" collapsed="false">
      <c r="A371" s="75"/>
      <c r="B371" s="76"/>
      <c r="C371" s="76"/>
      <c r="D371" s="76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customFormat="false" ht="15" hidden="false" customHeight="false" outlineLevel="0" collapsed="false">
      <c r="A372" s="75"/>
      <c r="B372" s="76"/>
      <c r="C372" s="76"/>
      <c r="D372" s="76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customFormat="false" ht="15" hidden="false" customHeight="false" outlineLevel="0" collapsed="false">
      <c r="A373" s="75"/>
      <c r="B373" s="76"/>
      <c r="C373" s="76"/>
      <c r="D373" s="76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customFormat="false" ht="15" hidden="false" customHeight="false" outlineLevel="0" collapsed="false">
      <c r="A374" s="75"/>
      <c r="B374" s="76"/>
      <c r="C374" s="76"/>
      <c r="D374" s="76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customFormat="false" ht="15" hidden="false" customHeight="false" outlineLevel="0" collapsed="false">
      <c r="A375" s="75"/>
      <c r="B375" s="76"/>
      <c r="C375" s="76"/>
      <c r="D375" s="76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customFormat="false" ht="15" hidden="false" customHeight="false" outlineLevel="0" collapsed="false">
      <c r="A376" s="75"/>
      <c r="B376" s="76"/>
      <c r="C376" s="76"/>
      <c r="D376" s="76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customFormat="false" ht="15" hidden="false" customHeight="false" outlineLevel="0" collapsed="false">
      <c r="A377" s="75"/>
      <c r="B377" s="76"/>
      <c r="C377" s="76"/>
      <c r="D377" s="76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customFormat="false" ht="15" hidden="false" customHeight="false" outlineLevel="0" collapsed="false">
      <c r="A378" s="75"/>
      <c r="B378" s="76"/>
      <c r="C378" s="76"/>
      <c r="D378" s="76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customFormat="false" ht="15" hidden="false" customHeight="false" outlineLevel="0" collapsed="false">
      <c r="A379" s="75"/>
      <c r="B379" s="76"/>
      <c r="C379" s="76"/>
      <c r="D379" s="76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customFormat="false" ht="15" hidden="false" customHeight="false" outlineLevel="0" collapsed="false">
      <c r="A380" s="75"/>
      <c r="B380" s="76"/>
      <c r="C380" s="76"/>
      <c r="D380" s="76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customFormat="false" ht="15" hidden="false" customHeight="false" outlineLevel="0" collapsed="false">
      <c r="A381" s="75"/>
      <c r="B381" s="76"/>
      <c r="C381" s="76"/>
      <c r="D381" s="76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customFormat="false" ht="15" hidden="false" customHeight="false" outlineLevel="0" collapsed="false">
      <c r="A382" s="75"/>
      <c r="B382" s="76"/>
      <c r="C382" s="76"/>
      <c r="D382" s="76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customFormat="false" ht="15" hidden="false" customHeight="false" outlineLevel="0" collapsed="false">
      <c r="A383" s="75"/>
      <c r="B383" s="76"/>
      <c r="C383" s="76"/>
      <c r="D383" s="76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customFormat="false" ht="15" hidden="false" customHeight="false" outlineLevel="0" collapsed="false">
      <c r="A384" s="75"/>
      <c r="B384" s="76"/>
      <c r="C384" s="76"/>
      <c r="D384" s="76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customFormat="false" ht="15" hidden="false" customHeight="false" outlineLevel="0" collapsed="false">
      <c r="A385" s="75"/>
      <c r="B385" s="76"/>
      <c r="C385" s="76"/>
      <c r="D385" s="76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customFormat="false" ht="15" hidden="false" customHeight="false" outlineLevel="0" collapsed="false">
      <c r="A386" s="75"/>
      <c r="B386" s="76"/>
      <c r="C386" s="76"/>
      <c r="D386" s="76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customFormat="false" ht="15" hidden="false" customHeight="false" outlineLevel="0" collapsed="false">
      <c r="A387" s="75"/>
      <c r="B387" s="76"/>
      <c r="C387" s="76"/>
      <c r="D387" s="76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customFormat="false" ht="15" hidden="false" customHeight="false" outlineLevel="0" collapsed="false">
      <c r="A388" s="75"/>
      <c r="B388" s="76"/>
      <c r="C388" s="76"/>
      <c r="D388" s="76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customFormat="false" ht="15" hidden="false" customHeight="false" outlineLevel="0" collapsed="false">
      <c r="A389" s="75"/>
      <c r="B389" s="76"/>
      <c r="C389" s="76"/>
      <c r="D389" s="76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customFormat="false" ht="15" hidden="false" customHeight="false" outlineLevel="0" collapsed="false">
      <c r="A390" s="75"/>
      <c r="B390" s="76"/>
      <c r="C390" s="76"/>
      <c r="D390" s="76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customFormat="false" ht="15" hidden="false" customHeight="false" outlineLevel="0" collapsed="false">
      <c r="A391" s="75"/>
      <c r="B391" s="76"/>
      <c r="C391" s="76"/>
      <c r="D391" s="76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customFormat="false" ht="15" hidden="false" customHeight="false" outlineLevel="0" collapsed="false">
      <c r="A392" s="75"/>
      <c r="B392" s="76"/>
      <c r="C392" s="76"/>
      <c r="D392" s="76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customFormat="false" ht="15" hidden="false" customHeight="false" outlineLevel="0" collapsed="false">
      <c r="A393" s="75"/>
      <c r="B393" s="76"/>
      <c r="C393" s="76"/>
      <c r="D393" s="76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customFormat="false" ht="15" hidden="false" customHeight="false" outlineLevel="0" collapsed="false">
      <c r="A394" s="75"/>
      <c r="B394" s="76"/>
      <c r="C394" s="76"/>
      <c r="D394" s="76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customFormat="false" ht="15" hidden="false" customHeight="false" outlineLevel="0" collapsed="false">
      <c r="A395" s="75"/>
      <c r="B395" s="76"/>
      <c r="C395" s="76"/>
      <c r="D395" s="76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customFormat="false" ht="15" hidden="false" customHeight="false" outlineLevel="0" collapsed="false">
      <c r="A396" s="75"/>
      <c r="B396" s="76"/>
      <c r="C396" s="76"/>
      <c r="D396" s="76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customFormat="false" ht="15" hidden="false" customHeight="false" outlineLevel="0" collapsed="false">
      <c r="A397" s="75"/>
      <c r="B397" s="76"/>
      <c r="C397" s="76"/>
      <c r="D397" s="76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customFormat="false" ht="15" hidden="false" customHeight="false" outlineLevel="0" collapsed="false">
      <c r="A398" s="75"/>
      <c r="B398" s="76"/>
      <c r="C398" s="76"/>
      <c r="D398" s="76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customFormat="false" ht="15" hidden="false" customHeight="false" outlineLevel="0" collapsed="false">
      <c r="A399" s="75"/>
      <c r="B399" s="76"/>
      <c r="C399" s="76"/>
      <c r="D399" s="76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customFormat="false" ht="15" hidden="false" customHeight="false" outlineLevel="0" collapsed="false">
      <c r="A400" s="75"/>
      <c r="B400" s="76"/>
      <c r="C400" s="76"/>
      <c r="D400" s="76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customFormat="false" ht="15" hidden="false" customHeight="false" outlineLevel="0" collapsed="false">
      <c r="A401" s="75"/>
      <c r="B401" s="76"/>
      <c r="C401" s="76"/>
      <c r="D401" s="76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customFormat="false" ht="15" hidden="false" customHeight="false" outlineLevel="0" collapsed="false">
      <c r="A402" s="75"/>
      <c r="B402" s="76"/>
      <c r="C402" s="76"/>
      <c r="D402" s="76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customFormat="false" ht="15" hidden="false" customHeight="false" outlineLevel="0" collapsed="false">
      <c r="A403" s="75"/>
      <c r="B403" s="76"/>
      <c r="C403" s="76"/>
      <c r="D403" s="76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customFormat="false" ht="15" hidden="false" customHeight="false" outlineLevel="0" collapsed="false">
      <c r="A404" s="75"/>
      <c r="B404" s="76"/>
      <c r="C404" s="76"/>
      <c r="D404" s="76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customFormat="false" ht="15" hidden="false" customHeight="false" outlineLevel="0" collapsed="false">
      <c r="A405" s="75"/>
      <c r="B405" s="76"/>
      <c r="C405" s="76"/>
      <c r="D405" s="76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customFormat="false" ht="15" hidden="false" customHeight="false" outlineLevel="0" collapsed="false">
      <c r="A406" s="75"/>
      <c r="B406" s="76"/>
      <c r="C406" s="76"/>
      <c r="D406" s="76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customFormat="false" ht="15" hidden="false" customHeight="false" outlineLevel="0" collapsed="false">
      <c r="A407" s="75"/>
      <c r="B407" s="76"/>
      <c r="C407" s="76"/>
      <c r="D407" s="76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customFormat="false" ht="15" hidden="false" customHeight="false" outlineLevel="0" collapsed="false">
      <c r="A408" s="75"/>
      <c r="B408" s="76"/>
      <c r="C408" s="76"/>
      <c r="D408" s="76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customFormat="false" ht="15" hidden="false" customHeight="false" outlineLevel="0" collapsed="false">
      <c r="A409" s="75"/>
      <c r="B409" s="76"/>
      <c r="C409" s="76"/>
      <c r="D409" s="76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customFormat="false" ht="15" hidden="false" customHeight="false" outlineLevel="0" collapsed="false">
      <c r="A410" s="75"/>
      <c r="B410" s="76"/>
      <c r="C410" s="76"/>
      <c r="D410" s="76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customFormat="false" ht="15" hidden="false" customHeight="false" outlineLevel="0" collapsed="false">
      <c r="A411" s="75"/>
      <c r="B411" s="76"/>
      <c r="C411" s="76"/>
      <c r="D411" s="76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customFormat="false" ht="15" hidden="false" customHeight="false" outlineLevel="0" collapsed="false">
      <c r="A412" s="75"/>
      <c r="B412" s="76"/>
      <c r="C412" s="76"/>
      <c r="D412" s="76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customFormat="false" ht="15" hidden="false" customHeight="false" outlineLevel="0" collapsed="false">
      <c r="A413" s="75"/>
      <c r="B413" s="76"/>
      <c r="C413" s="76"/>
      <c r="D413" s="76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customFormat="false" ht="15" hidden="false" customHeight="false" outlineLevel="0" collapsed="false">
      <c r="A414" s="75"/>
      <c r="B414" s="76"/>
      <c r="C414" s="76"/>
      <c r="D414" s="76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customFormat="false" ht="15" hidden="false" customHeight="false" outlineLevel="0" collapsed="false">
      <c r="A415" s="75"/>
      <c r="B415" s="76"/>
      <c r="C415" s="76"/>
      <c r="D415" s="76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customFormat="false" ht="15" hidden="false" customHeight="false" outlineLevel="0" collapsed="false">
      <c r="A416" s="75"/>
      <c r="B416" s="76"/>
      <c r="C416" s="76"/>
      <c r="D416" s="76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customFormat="false" ht="15" hidden="false" customHeight="false" outlineLevel="0" collapsed="false">
      <c r="A417" s="75"/>
      <c r="B417" s="76"/>
      <c r="C417" s="76"/>
      <c r="D417" s="76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customFormat="false" ht="15" hidden="false" customHeight="false" outlineLevel="0" collapsed="false">
      <c r="A418" s="75"/>
      <c r="B418" s="76"/>
      <c r="C418" s="76"/>
      <c r="D418" s="76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customFormat="false" ht="15" hidden="false" customHeight="false" outlineLevel="0" collapsed="false">
      <c r="A419" s="75"/>
      <c r="B419" s="76"/>
      <c r="C419" s="76"/>
      <c r="D419" s="76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customFormat="false" ht="15" hidden="false" customHeight="false" outlineLevel="0" collapsed="false">
      <c r="A420" s="75"/>
      <c r="B420" s="76"/>
      <c r="C420" s="76"/>
      <c r="D420" s="76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customFormat="false" ht="15" hidden="false" customHeight="false" outlineLevel="0" collapsed="false">
      <c r="A421" s="75"/>
      <c r="B421" s="76"/>
      <c r="C421" s="76"/>
      <c r="D421" s="76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customFormat="false" ht="15" hidden="false" customHeight="false" outlineLevel="0" collapsed="false">
      <c r="A422" s="75"/>
      <c r="B422" s="76"/>
      <c r="C422" s="76"/>
      <c r="D422" s="76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customFormat="false" ht="15" hidden="false" customHeight="false" outlineLevel="0" collapsed="false">
      <c r="A423" s="75"/>
      <c r="B423" s="76"/>
      <c r="C423" s="76"/>
      <c r="D423" s="76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customFormat="false" ht="15" hidden="false" customHeight="false" outlineLevel="0" collapsed="false">
      <c r="A424" s="75"/>
      <c r="B424" s="76"/>
      <c r="C424" s="76"/>
      <c r="D424" s="76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customFormat="false" ht="15" hidden="false" customHeight="false" outlineLevel="0" collapsed="false">
      <c r="A425" s="75"/>
      <c r="B425" s="76"/>
      <c r="C425" s="76"/>
      <c r="D425" s="76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customFormat="false" ht="15" hidden="false" customHeight="false" outlineLevel="0" collapsed="false">
      <c r="A426" s="75"/>
      <c r="B426" s="76"/>
      <c r="C426" s="76"/>
      <c r="D426" s="76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customFormat="false" ht="15" hidden="false" customHeight="false" outlineLevel="0" collapsed="false">
      <c r="A427" s="75"/>
      <c r="B427" s="76"/>
      <c r="C427" s="76"/>
      <c r="D427" s="76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customFormat="false" ht="15" hidden="false" customHeight="false" outlineLevel="0" collapsed="false">
      <c r="A428" s="75"/>
      <c r="B428" s="76"/>
      <c r="C428" s="76"/>
      <c r="D428" s="76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customFormat="false" ht="15" hidden="false" customHeight="false" outlineLevel="0" collapsed="false">
      <c r="A429" s="75"/>
      <c r="B429" s="76"/>
      <c r="C429" s="76"/>
      <c r="D429" s="76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customFormat="false" ht="15" hidden="false" customHeight="false" outlineLevel="0" collapsed="false">
      <c r="A430" s="75"/>
      <c r="B430" s="76"/>
      <c r="C430" s="76"/>
      <c r="D430" s="76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customFormat="false" ht="15" hidden="false" customHeight="false" outlineLevel="0" collapsed="false">
      <c r="A431" s="75"/>
      <c r="B431" s="76"/>
      <c r="C431" s="76"/>
      <c r="D431" s="76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customFormat="false" ht="15" hidden="false" customHeight="false" outlineLevel="0" collapsed="false">
      <c r="A432" s="75"/>
      <c r="B432" s="76"/>
      <c r="C432" s="76"/>
      <c r="D432" s="76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customFormat="false" ht="15" hidden="false" customHeight="false" outlineLevel="0" collapsed="false">
      <c r="A433" s="75"/>
      <c r="B433" s="76"/>
      <c r="C433" s="76"/>
      <c r="D433" s="76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customFormat="false" ht="15" hidden="false" customHeight="false" outlineLevel="0" collapsed="false">
      <c r="A434" s="75"/>
      <c r="B434" s="76"/>
      <c r="C434" s="76"/>
      <c r="D434" s="76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customFormat="false" ht="15" hidden="false" customHeight="false" outlineLevel="0" collapsed="false">
      <c r="A435" s="75"/>
      <c r="B435" s="76"/>
      <c r="C435" s="76"/>
      <c r="D435" s="76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customFormat="false" ht="15" hidden="false" customHeight="false" outlineLevel="0" collapsed="false">
      <c r="A436" s="75"/>
      <c r="B436" s="76"/>
      <c r="C436" s="76"/>
      <c r="D436" s="76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customFormat="false" ht="15" hidden="false" customHeight="false" outlineLevel="0" collapsed="false">
      <c r="A437" s="75"/>
      <c r="B437" s="76"/>
      <c r="C437" s="76"/>
      <c r="D437" s="76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customFormat="false" ht="15" hidden="false" customHeight="false" outlineLevel="0" collapsed="false">
      <c r="A438" s="75"/>
      <c r="B438" s="76"/>
      <c r="C438" s="76"/>
      <c r="D438" s="76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customFormat="false" ht="15" hidden="false" customHeight="false" outlineLevel="0" collapsed="false">
      <c r="A439" s="75"/>
      <c r="B439" s="76"/>
      <c r="C439" s="76"/>
      <c r="D439" s="76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customFormat="false" ht="15" hidden="false" customHeight="false" outlineLevel="0" collapsed="false">
      <c r="A440" s="75"/>
      <c r="B440" s="76"/>
      <c r="C440" s="76"/>
      <c r="D440" s="76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customFormat="false" ht="15" hidden="false" customHeight="false" outlineLevel="0" collapsed="false">
      <c r="A441" s="75"/>
      <c r="B441" s="76"/>
      <c r="C441" s="76"/>
      <c r="D441" s="76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customFormat="false" ht="15" hidden="false" customHeight="false" outlineLevel="0" collapsed="false">
      <c r="A442" s="75"/>
      <c r="B442" s="76"/>
      <c r="C442" s="76"/>
      <c r="D442" s="76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customFormat="false" ht="15" hidden="false" customHeight="false" outlineLevel="0" collapsed="false">
      <c r="A443" s="75"/>
      <c r="B443" s="76"/>
      <c r="C443" s="76"/>
      <c r="D443" s="76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customFormat="false" ht="15" hidden="false" customHeight="false" outlineLevel="0" collapsed="false">
      <c r="A444" s="75"/>
      <c r="B444" s="76"/>
      <c r="C444" s="76"/>
      <c r="D444" s="76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customFormat="false" ht="15" hidden="false" customHeight="false" outlineLevel="0" collapsed="false">
      <c r="A445" s="75"/>
      <c r="B445" s="76"/>
      <c r="C445" s="76"/>
      <c r="D445" s="76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customFormat="false" ht="15" hidden="false" customHeight="false" outlineLevel="0" collapsed="false">
      <c r="A446" s="75"/>
      <c r="B446" s="76"/>
      <c r="C446" s="76"/>
      <c r="D446" s="76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customFormat="false" ht="15" hidden="false" customHeight="false" outlineLevel="0" collapsed="false">
      <c r="A447" s="75"/>
      <c r="B447" s="76"/>
      <c r="C447" s="76"/>
      <c r="D447" s="76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customFormat="false" ht="15" hidden="false" customHeight="false" outlineLevel="0" collapsed="false">
      <c r="A448" s="75"/>
      <c r="B448" s="76"/>
      <c r="C448" s="76"/>
      <c r="D448" s="76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customFormat="false" ht="15" hidden="false" customHeight="false" outlineLevel="0" collapsed="false">
      <c r="A449" s="75"/>
      <c r="B449" s="76"/>
      <c r="C449" s="76"/>
      <c r="D449" s="76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customFormat="false" ht="15" hidden="false" customHeight="false" outlineLevel="0" collapsed="false">
      <c r="A450" s="75"/>
      <c r="B450" s="76"/>
      <c r="C450" s="76"/>
      <c r="D450" s="76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customFormat="false" ht="15" hidden="false" customHeight="false" outlineLevel="0" collapsed="false">
      <c r="A451" s="75"/>
      <c r="B451" s="76"/>
      <c r="C451" s="76"/>
      <c r="D451" s="76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customFormat="false" ht="15" hidden="false" customHeight="false" outlineLevel="0" collapsed="false">
      <c r="A452" s="75"/>
      <c r="B452" s="76"/>
      <c r="C452" s="76"/>
      <c r="D452" s="76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customFormat="false" ht="15" hidden="false" customHeight="false" outlineLevel="0" collapsed="false">
      <c r="A453" s="75"/>
      <c r="B453" s="76"/>
      <c r="C453" s="76"/>
      <c r="D453" s="76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customFormat="false" ht="15" hidden="false" customHeight="false" outlineLevel="0" collapsed="false">
      <c r="A454" s="75"/>
      <c r="B454" s="76"/>
      <c r="C454" s="76"/>
      <c r="D454" s="76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customFormat="false" ht="15" hidden="false" customHeight="false" outlineLevel="0" collapsed="false">
      <c r="A455" s="75"/>
      <c r="B455" s="76"/>
      <c r="C455" s="76"/>
      <c r="D455" s="76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customFormat="false" ht="15" hidden="false" customHeight="false" outlineLevel="0" collapsed="false">
      <c r="A456" s="75"/>
      <c r="B456" s="76"/>
      <c r="C456" s="76"/>
      <c r="D456" s="76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customFormat="false" ht="15" hidden="false" customHeight="false" outlineLevel="0" collapsed="false">
      <c r="A457" s="75"/>
      <c r="B457" s="76"/>
      <c r="C457" s="76"/>
      <c r="D457" s="76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customFormat="false" ht="15" hidden="false" customHeight="false" outlineLevel="0" collapsed="false">
      <c r="A458" s="75"/>
      <c r="B458" s="76"/>
      <c r="C458" s="76"/>
      <c r="D458" s="76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customFormat="false" ht="15" hidden="false" customHeight="false" outlineLevel="0" collapsed="false">
      <c r="A459" s="75"/>
      <c r="B459" s="76"/>
      <c r="C459" s="76"/>
      <c r="D459" s="76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customFormat="false" ht="15" hidden="false" customHeight="false" outlineLevel="0" collapsed="false">
      <c r="A460" s="75"/>
      <c r="B460" s="76"/>
      <c r="C460" s="76"/>
      <c r="D460" s="76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customFormat="false" ht="15" hidden="false" customHeight="false" outlineLevel="0" collapsed="false">
      <c r="A461" s="75"/>
      <c r="B461" s="76"/>
      <c r="C461" s="76"/>
      <c r="D461" s="76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customFormat="false" ht="15" hidden="false" customHeight="false" outlineLevel="0" collapsed="false">
      <c r="A462" s="75"/>
      <c r="B462" s="76"/>
      <c r="C462" s="76"/>
      <c r="D462" s="76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customFormat="false" ht="15" hidden="false" customHeight="false" outlineLevel="0" collapsed="false">
      <c r="A463" s="75"/>
      <c r="B463" s="76"/>
      <c r="C463" s="76"/>
      <c r="D463" s="76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customFormat="false" ht="15" hidden="false" customHeight="false" outlineLevel="0" collapsed="false">
      <c r="A464" s="75"/>
      <c r="B464" s="76"/>
      <c r="C464" s="76"/>
      <c r="D464" s="76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customFormat="false" ht="15" hidden="false" customHeight="false" outlineLevel="0" collapsed="false">
      <c r="A465" s="75"/>
      <c r="B465" s="76"/>
      <c r="C465" s="76"/>
      <c r="D465" s="76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customFormat="false" ht="15" hidden="false" customHeight="false" outlineLevel="0" collapsed="false">
      <c r="A466" s="75"/>
      <c r="B466" s="76"/>
      <c r="C466" s="76"/>
      <c r="D466" s="76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customFormat="false" ht="15" hidden="false" customHeight="false" outlineLevel="0" collapsed="false">
      <c r="A467" s="75"/>
      <c r="B467" s="76"/>
      <c r="C467" s="76"/>
      <c r="D467" s="76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customFormat="false" ht="15" hidden="false" customHeight="false" outlineLevel="0" collapsed="false">
      <c r="A468" s="75"/>
      <c r="B468" s="76"/>
      <c r="C468" s="76"/>
      <c r="D468" s="76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customFormat="false" ht="15" hidden="false" customHeight="false" outlineLevel="0" collapsed="false">
      <c r="A469" s="75"/>
      <c r="B469" s="76"/>
      <c r="C469" s="76"/>
      <c r="D469" s="76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customFormat="false" ht="15" hidden="false" customHeight="false" outlineLevel="0" collapsed="false">
      <c r="A470" s="75"/>
      <c r="B470" s="76"/>
      <c r="C470" s="76"/>
      <c r="D470" s="76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customFormat="false" ht="15" hidden="false" customHeight="false" outlineLevel="0" collapsed="false">
      <c r="A471" s="75"/>
      <c r="B471" s="76"/>
      <c r="C471" s="76"/>
      <c r="D471" s="76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customFormat="false" ht="15" hidden="false" customHeight="false" outlineLevel="0" collapsed="false">
      <c r="A472" s="75"/>
      <c r="B472" s="76"/>
      <c r="C472" s="76"/>
      <c r="D472" s="76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customFormat="false" ht="15" hidden="false" customHeight="false" outlineLevel="0" collapsed="false">
      <c r="A473" s="75"/>
      <c r="B473" s="76"/>
      <c r="C473" s="76"/>
      <c r="D473" s="76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customFormat="false" ht="15" hidden="false" customHeight="false" outlineLevel="0" collapsed="false">
      <c r="A474" s="75"/>
      <c r="B474" s="76"/>
      <c r="C474" s="76"/>
      <c r="D474" s="76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customFormat="false" ht="15" hidden="false" customHeight="false" outlineLevel="0" collapsed="false">
      <c r="A475" s="75"/>
      <c r="B475" s="76"/>
      <c r="C475" s="76"/>
      <c r="D475" s="76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customFormat="false" ht="15" hidden="false" customHeight="false" outlineLevel="0" collapsed="false">
      <c r="A476" s="75"/>
      <c r="B476" s="76"/>
      <c r="C476" s="76"/>
      <c r="D476" s="76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customFormat="false" ht="15" hidden="false" customHeight="false" outlineLevel="0" collapsed="false">
      <c r="A477" s="75"/>
      <c r="B477" s="76"/>
      <c r="C477" s="76"/>
      <c r="D477" s="76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customFormat="false" ht="15" hidden="false" customHeight="false" outlineLevel="0" collapsed="false">
      <c r="A478" s="75"/>
      <c r="B478" s="76"/>
      <c r="C478" s="76"/>
      <c r="D478" s="76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customFormat="false" ht="15" hidden="false" customHeight="false" outlineLevel="0" collapsed="false">
      <c r="A479" s="75"/>
      <c r="B479" s="76"/>
      <c r="C479" s="76"/>
      <c r="D479" s="76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customFormat="false" ht="15" hidden="false" customHeight="false" outlineLevel="0" collapsed="false">
      <c r="A480" s="75"/>
      <c r="B480" s="76"/>
      <c r="C480" s="76"/>
      <c r="D480" s="76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customFormat="false" ht="15" hidden="false" customHeight="false" outlineLevel="0" collapsed="false">
      <c r="A481" s="75"/>
      <c r="B481" s="76"/>
      <c r="C481" s="76"/>
      <c r="D481" s="76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customFormat="false" ht="15" hidden="false" customHeight="false" outlineLevel="0" collapsed="false">
      <c r="A482" s="75"/>
      <c r="B482" s="76"/>
      <c r="C482" s="76"/>
      <c r="D482" s="76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customFormat="false" ht="15" hidden="false" customHeight="false" outlineLevel="0" collapsed="false">
      <c r="A483" s="75"/>
      <c r="B483" s="76"/>
      <c r="C483" s="76"/>
      <c r="D483" s="76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customFormat="false" ht="15" hidden="false" customHeight="false" outlineLevel="0" collapsed="false">
      <c r="A484" s="75"/>
      <c r="B484" s="76"/>
      <c r="C484" s="76"/>
      <c r="D484" s="76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customFormat="false" ht="15" hidden="false" customHeight="false" outlineLevel="0" collapsed="false">
      <c r="A485" s="75"/>
      <c r="B485" s="76"/>
      <c r="C485" s="76"/>
      <c r="D485" s="76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customFormat="false" ht="15" hidden="false" customHeight="false" outlineLevel="0" collapsed="false">
      <c r="A486" s="75"/>
      <c r="B486" s="76"/>
      <c r="C486" s="76"/>
      <c r="D486" s="76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customFormat="false" ht="15" hidden="false" customHeight="false" outlineLevel="0" collapsed="false">
      <c r="A487" s="75"/>
      <c r="B487" s="76"/>
      <c r="C487" s="76"/>
      <c r="D487" s="76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customFormat="false" ht="15" hidden="false" customHeight="false" outlineLevel="0" collapsed="false">
      <c r="A488" s="75"/>
      <c r="B488" s="76"/>
      <c r="C488" s="76"/>
      <c r="D488" s="76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customFormat="false" ht="15" hidden="false" customHeight="false" outlineLevel="0" collapsed="false">
      <c r="A489" s="75"/>
      <c r="B489" s="76"/>
      <c r="C489" s="76"/>
      <c r="D489" s="76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customFormat="false" ht="15" hidden="false" customHeight="false" outlineLevel="0" collapsed="false">
      <c r="A490" s="75"/>
      <c r="B490" s="76"/>
      <c r="C490" s="76"/>
      <c r="D490" s="76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customFormat="false" ht="15" hidden="false" customHeight="false" outlineLevel="0" collapsed="false">
      <c r="A491" s="75"/>
      <c r="B491" s="76"/>
      <c r="C491" s="76"/>
      <c r="D491" s="76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customFormat="false" ht="15" hidden="false" customHeight="false" outlineLevel="0" collapsed="false">
      <c r="A492" s="75"/>
      <c r="B492" s="76"/>
      <c r="C492" s="76"/>
      <c r="D492" s="76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customFormat="false" ht="15" hidden="false" customHeight="false" outlineLevel="0" collapsed="false">
      <c r="A493" s="75"/>
      <c r="B493" s="76"/>
      <c r="C493" s="76"/>
      <c r="D493" s="76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customFormat="false" ht="15" hidden="false" customHeight="false" outlineLevel="0" collapsed="false">
      <c r="A494" s="75"/>
      <c r="B494" s="76"/>
      <c r="C494" s="76"/>
      <c r="D494" s="76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customFormat="false" ht="15" hidden="false" customHeight="false" outlineLevel="0" collapsed="false">
      <c r="A495" s="75"/>
      <c r="B495" s="76"/>
      <c r="C495" s="76"/>
      <c r="D495" s="76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customFormat="false" ht="15" hidden="false" customHeight="false" outlineLevel="0" collapsed="false">
      <c r="A496" s="75"/>
      <c r="B496" s="76"/>
      <c r="C496" s="76"/>
      <c r="D496" s="76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customFormat="false" ht="15" hidden="false" customHeight="false" outlineLevel="0" collapsed="false">
      <c r="A497" s="75"/>
      <c r="B497" s="76"/>
      <c r="C497" s="76"/>
      <c r="D497" s="76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customFormat="false" ht="15" hidden="false" customHeight="false" outlineLevel="0" collapsed="false">
      <c r="A498" s="75"/>
      <c r="B498" s="76"/>
      <c r="C498" s="76"/>
      <c r="D498" s="76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customFormat="false" ht="15" hidden="false" customHeight="false" outlineLevel="0" collapsed="false">
      <c r="A499" s="75"/>
      <c r="B499" s="76"/>
      <c r="C499" s="76"/>
      <c r="D499" s="76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customFormat="false" ht="15" hidden="false" customHeight="false" outlineLevel="0" collapsed="false">
      <c r="A500" s="75"/>
      <c r="B500" s="76"/>
      <c r="C500" s="76"/>
      <c r="D500" s="76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customFormat="false" ht="15" hidden="false" customHeight="false" outlineLevel="0" collapsed="false">
      <c r="A501" s="75"/>
      <c r="B501" s="76"/>
      <c r="C501" s="76"/>
      <c r="D501" s="76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customFormat="false" ht="15" hidden="false" customHeight="false" outlineLevel="0" collapsed="false">
      <c r="A502" s="75"/>
      <c r="B502" s="76"/>
      <c r="C502" s="76"/>
      <c r="D502" s="76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customFormat="false" ht="15" hidden="false" customHeight="false" outlineLevel="0" collapsed="false">
      <c r="A503" s="75"/>
      <c r="B503" s="76"/>
      <c r="C503" s="76"/>
      <c r="D503" s="76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customFormat="false" ht="15" hidden="false" customHeight="false" outlineLevel="0" collapsed="false">
      <c r="A504" s="75"/>
      <c r="B504" s="76"/>
      <c r="C504" s="76"/>
      <c r="D504" s="76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customFormat="false" ht="15" hidden="false" customHeight="false" outlineLevel="0" collapsed="false">
      <c r="A505" s="75"/>
      <c r="B505" s="76"/>
      <c r="C505" s="76"/>
      <c r="D505" s="76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customFormat="false" ht="15" hidden="false" customHeight="false" outlineLevel="0" collapsed="false">
      <c r="A506" s="75"/>
      <c r="B506" s="76"/>
      <c r="C506" s="76"/>
      <c r="D506" s="76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customFormat="false" ht="15" hidden="false" customHeight="false" outlineLevel="0" collapsed="false">
      <c r="A507" s="75"/>
      <c r="B507" s="76"/>
      <c r="C507" s="76"/>
      <c r="D507" s="76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customFormat="false" ht="15" hidden="false" customHeight="false" outlineLevel="0" collapsed="false">
      <c r="A508" s="75"/>
      <c r="B508" s="76"/>
      <c r="C508" s="76"/>
      <c r="D508" s="76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customFormat="false" ht="15" hidden="false" customHeight="false" outlineLevel="0" collapsed="false">
      <c r="A509" s="75"/>
      <c r="B509" s="76"/>
      <c r="C509" s="76"/>
      <c r="D509" s="76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customFormat="false" ht="15" hidden="false" customHeight="false" outlineLevel="0" collapsed="false">
      <c r="A510" s="75"/>
      <c r="B510" s="76"/>
      <c r="C510" s="76"/>
      <c r="D510" s="76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customFormat="false" ht="15" hidden="false" customHeight="false" outlineLevel="0" collapsed="false">
      <c r="A511" s="75"/>
      <c r="B511" s="76"/>
      <c r="C511" s="76"/>
      <c r="D511" s="76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customFormat="false" ht="15" hidden="false" customHeight="false" outlineLevel="0" collapsed="false">
      <c r="A512" s="75"/>
      <c r="B512" s="76"/>
      <c r="C512" s="76"/>
      <c r="D512" s="76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customFormat="false" ht="15" hidden="false" customHeight="false" outlineLevel="0" collapsed="false">
      <c r="A513" s="75"/>
      <c r="B513" s="76"/>
      <c r="C513" s="76"/>
      <c r="D513" s="76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customFormat="false" ht="15" hidden="false" customHeight="false" outlineLevel="0" collapsed="false">
      <c r="A514" s="75"/>
      <c r="B514" s="76"/>
      <c r="C514" s="76"/>
      <c r="D514" s="76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customFormat="false" ht="15" hidden="false" customHeight="false" outlineLevel="0" collapsed="false">
      <c r="A515" s="75"/>
      <c r="B515" s="76"/>
      <c r="C515" s="76"/>
      <c r="D515" s="76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customFormat="false" ht="15" hidden="false" customHeight="false" outlineLevel="0" collapsed="false">
      <c r="A516" s="75"/>
      <c r="B516" s="76"/>
      <c r="C516" s="76"/>
      <c r="D516" s="76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customFormat="false" ht="15" hidden="false" customHeight="false" outlineLevel="0" collapsed="false">
      <c r="A517" s="75"/>
      <c r="B517" s="76"/>
      <c r="C517" s="76"/>
      <c r="D517" s="76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customFormat="false" ht="15" hidden="false" customHeight="false" outlineLevel="0" collapsed="false">
      <c r="A518" s="75"/>
      <c r="B518" s="76"/>
      <c r="C518" s="76"/>
      <c r="D518" s="76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customFormat="false" ht="15" hidden="false" customHeight="false" outlineLevel="0" collapsed="false">
      <c r="A519" s="75"/>
      <c r="B519" s="76"/>
      <c r="C519" s="76"/>
      <c r="D519" s="76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customFormat="false" ht="15" hidden="false" customHeight="false" outlineLevel="0" collapsed="false">
      <c r="A520" s="75"/>
      <c r="B520" s="76"/>
      <c r="C520" s="76"/>
      <c r="D520" s="76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customFormat="false" ht="15" hidden="false" customHeight="false" outlineLevel="0" collapsed="false">
      <c r="A521" s="75"/>
      <c r="B521" s="76"/>
      <c r="C521" s="76"/>
      <c r="D521" s="76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customFormat="false" ht="15" hidden="false" customHeight="false" outlineLevel="0" collapsed="false">
      <c r="A522" s="75"/>
      <c r="B522" s="76"/>
      <c r="C522" s="76"/>
      <c r="D522" s="76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customFormat="false" ht="15" hidden="false" customHeight="false" outlineLevel="0" collapsed="false">
      <c r="A523" s="75"/>
      <c r="B523" s="76"/>
      <c r="C523" s="76"/>
      <c r="D523" s="76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customFormat="false" ht="15" hidden="false" customHeight="false" outlineLevel="0" collapsed="false">
      <c r="A524" s="75"/>
      <c r="B524" s="76"/>
      <c r="C524" s="76"/>
      <c r="D524" s="76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customFormat="false" ht="15" hidden="false" customHeight="false" outlineLevel="0" collapsed="false">
      <c r="A525" s="75"/>
      <c r="B525" s="76"/>
      <c r="C525" s="76"/>
      <c r="D525" s="76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customFormat="false" ht="15" hidden="false" customHeight="false" outlineLevel="0" collapsed="false">
      <c r="A526" s="75"/>
      <c r="B526" s="76"/>
      <c r="C526" s="76"/>
      <c r="D526" s="76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customFormat="false" ht="15" hidden="false" customHeight="false" outlineLevel="0" collapsed="false">
      <c r="A527" s="75"/>
      <c r="B527" s="76"/>
      <c r="C527" s="76"/>
      <c r="D527" s="76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customFormat="false" ht="15" hidden="false" customHeight="false" outlineLevel="0" collapsed="false">
      <c r="A528" s="75"/>
      <c r="B528" s="76"/>
      <c r="C528" s="76"/>
      <c r="D528" s="76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customFormat="false" ht="15" hidden="false" customHeight="false" outlineLevel="0" collapsed="false">
      <c r="A529" s="75"/>
      <c r="B529" s="76"/>
      <c r="C529" s="76"/>
      <c r="D529" s="76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customFormat="false" ht="15" hidden="false" customHeight="false" outlineLevel="0" collapsed="false">
      <c r="A530" s="75"/>
      <c r="B530" s="76"/>
      <c r="C530" s="76"/>
      <c r="D530" s="76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customFormat="false" ht="15" hidden="false" customHeight="false" outlineLevel="0" collapsed="false">
      <c r="A531" s="75"/>
      <c r="B531" s="76"/>
      <c r="C531" s="76"/>
      <c r="D531" s="76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customFormat="false" ht="15" hidden="false" customHeight="false" outlineLevel="0" collapsed="false">
      <c r="A532" s="75"/>
      <c r="B532" s="76"/>
      <c r="C532" s="76"/>
      <c r="D532" s="76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customFormat="false" ht="15" hidden="false" customHeight="false" outlineLevel="0" collapsed="false">
      <c r="A533" s="75"/>
      <c r="B533" s="76"/>
      <c r="C533" s="76"/>
      <c r="D533" s="76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customFormat="false" ht="15" hidden="false" customHeight="false" outlineLevel="0" collapsed="false">
      <c r="A534" s="75"/>
      <c r="B534" s="76"/>
      <c r="C534" s="76"/>
      <c r="D534" s="76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customFormat="false" ht="15" hidden="false" customHeight="false" outlineLevel="0" collapsed="false">
      <c r="A535" s="75"/>
      <c r="B535" s="76"/>
      <c r="C535" s="76"/>
      <c r="D535" s="76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customFormat="false" ht="15" hidden="false" customHeight="false" outlineLevel="0" collapsed="false">
      <c r="A536" s="75"/>
      <c r="B536" s="76"/>
      <c r="C536" s="76"/>
      <c r="D536" s="76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customFormat="false" ht="15" hidden="false" customHeight="false" outlineLevel="0" collapsed="false">
      <c r="A537" s="75"/>
      <c r="B537" s="76"/>
      <c r="C537" s="76"/>
      <c r="D537" s="76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customFormat="false" ht="15" hidden="false" customHeight="false" outlineLevel="0" collapsed="false">
      <c r="A538" s="75"/>
      <c r="B538" s="76"/>
      <c r="C538" s="76"/>
      <c r="D538" s="76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customFormat="false" ht="15" hidden="false" customHeight="false" outlineLevel="0" collapsed="false">
      <c r="A539" s="75"/>
      <c r="B539" s="76"/>
      <c r="C539" s="76"/>
      <c r="D539" s="76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customFormat="false" ht="15" hidden="false" customHeight="false" outlineLevel="0" collapsed="false">
      <c r="A540" s="75"/>
      <c r="B540" s="76"/>
      <c r="C540" s="76"/>
      <c r="D540" s="76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customFormat="false" ht="15" hidden="false" customHeight="false" outlineLevel="0" collapsed="false">
      <c r="A541" s="75"/>
      <c r="B541" s="76"/>
      <c r="C541" s="76"/>
      <c r="D541" s="76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customFormat="false" ht="15" hidden="false" customHeight="false" outlineLevel="0" collapsed="false">
      <c r="A542" s="75"/>
      <c r="B542" s="76"/>
      <c r="C542" s="76"/>
      <c r="D542" s="76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customFormat="false" ht="15" hidden="false" customHeight="false" outlineLevel="0" collapsed="false">
      <c r="A543" s="75"/>
      <c r="B543" s="76"/>
      <c r="C543" s="76"/>
      <c r="D543" s="76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customFormat="false" ht="15" hidden="false" customHeight="false" outlineLevel="0" collapsed="false">
      <c r="A544" s="75"/>
      <c r="B544" s="76"/>
      <c r="C544" s="76"/>
      <c r="D544" s="76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customFormat="false" ht="15" hidden="false" customHeight="false" outlineLevel="0" collapsed="false">
      <c r="A545" s="75"/>
      <c r="B545" s="76"/>
      <c r="C545" s="76"/>
      <c r="D545" s="76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customFormat="false" ht="15" hidden="false" customHeight="false" outlineLevel="0" collapsed="false">
      <c r="A546" s="75"/>
      <c r="B546" s="76"/>
      <c r="C546" s="76"/>
      <c r="D546" s="76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customFormat="false" ht="15" hidden="false" customHeight="false" outlineLevel="0" collapsed="false">
      <c r="A547" s="75"/>
      <c r="B547" s="76"/>
      <c r="C547" s="76"/>
      <c r="D547" s="76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customFormat="false" ht="15" hidden="false" customHeight="false" outlineLevel="0" collapsed="false">
      <c r="A548" s="75"/>
      <c r="B548" s="76"/>
      <c r="C548" s="76"/>
      <c r="D548" s="76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customFormat="false" ht="15" hidden="false" customHeight="false" outlineLevel="0" collapsed="false">
      <c r="A549" s="75"/>
      <c r="B549" s="76"/>
      <c r="C549" s="76"/>
      <c r="D549" s="76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customFormat="false" ht="15" hidden="false" customHeight="false" outlineLevel="0" collapsed="false">
      <c r="A550" s="75"/>
      <c r="B550" s="76"/>
      <c r="C550" s="76"/>
      <c r="D550" s="76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customFormat="false" ht="15" hidden="false" customHeight="false" outlineLevel="0" collapsed="false">
      <c r="A551" s="75"/>
      <c r="B551" s="76"/>
      <c r="C551" s="76"/>
      <c r="D551" s="76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customFormat="false" ht="15" hidden="false" customHeight="false" outlineLevel="0" collapsed="false">
      <c r="A552" s="75"/>
      <c r="B552" s="76"/>
      <c r="C552" s="76"/>
      <c r="D552" s="76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customFormat="false" ht="15" hidden="false" customHeight="false" outlineLevel="0" collapsed="false">
      <c r="A553" s="75"/>
      <c r="B553" s="76"/>
      <c r="C553" s="76"/>
      <c r="D553" s="76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customFormat="false" ht="15" hidden="false" customHeight="false" outlineLevel="0" collapsed="false">
      <c r="A554" s="75"/>
      <c r="B554" s="76"/>
      <c r="C554" s="76"/>
      <c r="D554" s="76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customFormat="false" ht="15" hidden="false" customHeight="false" outlineLevel="0" collapsed="false">
      <c r="A555" s="75"/>
      <c r="B555" s="76"/>
      <c r="C555" s="76"/>
      <c r="D555" s="76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customFormat="false" ht="15" hidden="false" customHeight="false" outlineLevel="0" collapsed="false">
      <c r="A556" s="75"/>
      <c r="B556" s="76"/>
      <c r="C556" s="76"/>
      <c r="D556" s="76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customFormat="false" ht="15" hidden="false" customHeight="false" outlineLevel="0" collapsed="false">
      <c r="A557" s="75"/>
      <c r="B557" s="76"/>
      <c r="C557" s="76"/>
      <c r="D557" s="76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customFormat="false" ht="15" hidden="false" customHeight="false" outlineLevel="0" collapsed="false">
      <c r="A558" s="75"/>
      <c r="B558" s="76"/>
      <c r="C558" s="76"/>
      <c r="D558" s="76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customFormat="false" ht="15" hidden="false" customHeight="false" outlineLevel="0" collapsed="false">
      <c r="A559" s="75"/>
      <c r="B559" s="76"/>
      <c r="C559" s="76"/>
      <c r="D559" s="76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customFormat="false" ht="15" hidden="false" customHeight="false" outlineLevel="0" collapsed="false">
      <c r="A560" s="75"/>
      <c r="B560" s="76"/>
      <c r="C560" s="76"/>
      <c r="D560" s="76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customFormat="false" ht="15" hidden="false" customHeight="false" outlineLevel="0" collapsed="false">
      <c r="A561" s="75"/>
      <c r="B561" s="76"/>
      <c r="C561" s="76"/>
      <c r="D561" s="76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customFormat="false" ht="15" hidden="false" customHeight="false" outlineLevel="0" collapsed="false">
      <c r="A562" s="75"/>
      <c r="B562" s="76"/>
      <c r="C562" s="76"/>
      <c r="D562" s="76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customFormat="false" ht="15" hidden="false" customHeight="false" outlineLevel="0" collapsed="false">
      <c r="A563" s="75"/>
      <c r="B563" s="76"/>
      <c r="C563" s="76"/>
      <c r="D563" s="76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customFormat="false" ht="15" hidden="false" customHeight="false" outlineLevel="0" collapsed="false">
      <c r="A564" s="75"/>
      <c r="B564" s="76"/>
      <c r="C564" s="76"/>
      <c r="D564" s="76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customFormat="false" ht="15" hidden="false" customHeight="false" outlineLevel="0" collapsed="false">
      <c r="A565" s="75"/>
      <c r="B565" s="76"/>
      <c r="C565" s="76"/>
      <c r="D565" s="76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customFormat="false" ht="15" hidden="false" customHeight="false" outlineLevel="0" collapsed="false">
      <c r="A566" s="75"/>
      <c r="B566" s="76"/>
      <c r="C566" s="76"/>
      <c r="D566" s="76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customFormat="false" ht="15" hidden="false" customHeight="false" outlineLevel="0" collapsed="false">
      <c r="A567" s="75"/>
      <c r="B567" s="76"/>
      <c r="C567" s="76"/>
      <c r="D567" s="76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customFormat="false" ht="15" hidden="false" customHeight="false" outlineLevel="0" collapsed="false">
      <c r="A568" s="75"/>
      <c r="B568" s="76"/>
      <c r="C568" s="76"/>
      <c r="D568" s="76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customFormat="false" ht="15" hidden="false" customHeight="false" outlineLevel="0" collapsed="false">
      <c r="A569" s="75"/>
      <c r="B569" s="76"/>
      <c r="C569" s="76"/>
      <c r="D569" s="76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customFormat="false" ht="15" hidden="false" customHeight="false" outlineLevel="0" collapsed="false">
      <c r="A570" s="75"/>
      <c r="B570" s="76"/>
      <c r="C570" s="76"/>
      <c r="D570" s="76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customFormat="false" ht="15" hidden="false" customHeight="false" outlineLevel="0" collapsed="false">
      <c r="A571" s="75"/>
      <c r="B571" s="76"/>
      <c r="C571" s="76"/>
      <c r="D571" s="76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customFormat="false" ht="15" hidden="false" customHeight="false" outlineLevel="0" collapsed="false">
      <c r="A572" s="75"/>
      <c r="B572" s="76"/>
      <c r="C572" s="76"/>
      <c r="D572" s="76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customFormat="false" ht="15" hidden="false" customHeight="false" outlineLevel="0" collapsed="false">
      <c r="A573" s="75"/>
      <c r="B573" s="76"/>
      <c r="C573" s="76"/>
      <c r="D573" s="76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customFormat="false" ht="15" hidden="false" customHeight="false" outlineLevel="0" collapsed="false">
      <c r="A574" s="75"/>
      <c r="B574" s="76"/>
      <c r="C574" s="76"/>
      <c r="D574" s="76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customFormat="false" ht="15" hidden="false" customHeight="false" outlineLevel="0" collapsed="false">
      <c r="A575" s="75"/>
      <c r="B575" s="76"/>
      <c r="C575" s="76"/>
      <c r="D575" s="76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customFormat="false" ht="15" hidden="false" customHeight="false" outlineLevel="0" collapsed="false">
      <c r="A576" s="75"/>
      <c r="B576" s="76"/>
      <c r="C576" s="76"/>
      <c r="D576" s="76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customFormat="false" ht="15" hidden="false" customHeight="false" outlineLevel="0" collapsed="false">
      <c r="A577" s="75"/>
      <c r="B577" s="76"/>
      <c r="C577" s="76"/>
      <c r="D577" s="76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customFormat="false" ht="15" hidden="false" customHeight="false" outlineLevel="0" collapsed="false">
      <c r="A578" s="75"/>
      <c r="B578" s="76"/>
      <c r="C578" s="76"/>
      <c r="D578" s="76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customFormat="false" ht="15" hidden="false" customHeight="false" outlineLevel="0" collapsed="false">
      <c r="A579" s="75"/>
      <c r="B579" s="76"/>
      <c r="C579" s="76"/>
      <c r="D579" s="76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customFormat="false" ht="15" hidden="false" customHeight="false" outlineLevel="0" collapsed="false">
      <c r="A580" s="75"/>
      <c r="B580" s="76"/>
      <c r="C580" s="76"/>
      <c r="D580" s="76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customFormat="false" ht="15" hidden="false" customHeight="false" outlineLevel="0" collapsed="false">
      <c r="A581" s="75"/>
      <c r="B581" s="76"/>
      <c r="C581" s="76"/>
      <c r="D581" s="76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customFormat="false" ht="15" hidden="false" customHeight="false" outlineLevel="0" collapsed="false">
      <c r="A582" s="75"/>
      <c r="B582" s="76"/>
      <c r="C582" s="76"/>
      <c r="D582" s="76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customFormat="false" ht="15" hidden="false" customHeight="false" outlineLevel="0" collapsed="false">
      <c r="A583" s="75"/>
      <c r="B583" s="76"/>
      <c r="C583" s="76"/>
      <c r="D583" s="76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customFormat="false" ht="15" hidden="false" customHeight="false" outlineLevel="0" collapsed="false">
      <c r="A584" s="75"/>
      <c r="B584" s="76"/>
      <c r="C584" s="76"/>
      <c r="D584" s="76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customFormat="false" ht="15" hidden="false" customHeight="false" outlineLevel="0" collapsed="false">
      <c r="A585" s="75"/>
      <c r="B585" s="76"/>
      <c r="C585" s="76"/>
      <c r="D585" s="76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customFormat="false" ht="15" hidden="false" customHeight="false" outlineLevel="0" collapsed="false">
      <c r="A586" s="75"/>
      <c r="B586" s="76"/>
      <c r="C586" s="76"/>
      <c r="D586" s="76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customFormat="false" ht="15" hidden="false" customHeight="false" outlineLevel="0" collapsed="false">
      <c r="A587" s="75"/>
      <c r="B587" s="76"/>
      <c r="C587" s="76"/>
      <c r="D587" s="76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customFormat="false" ht="15" hidden="false" customHeight="false" outlineLevel="0" collapsed="false">
      <c r="A588" s="75"/>
      <c r="B588" s="76"/>
      <c r="C588" s="76"/>
      <c r="D588" s="76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customFormat="false" ht="15" hidden="false" customHeight="false" outlineLevel="0" collapsed="false">
      <c r="A589" s="75"/>
      <c r="B589" s="76"/>
      <c r="C589" s="76"/>
      <c r="D589" s="76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customFormat="false" ht="15" hidden="false" customHeight="false" outlineLevel="0" collapsed="false">
      <c r="A590" s="75"/>
      <c r="B590" s="76"/>
      <c r="C590" s="76"/>
      <c r="D590" s="76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customFormat="false" ht="15" hidden="false" customHeight="false" outlineLevel="0" collapsed="false">
      <c r="A591" s="75"/>
      <c r="B591" s="76"/>
      <c r="C591" s="76"/>
      <c r="D591" s="76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customFormat="false" ht="15" hidden="false" customHeight="false" outlineLevel="0" collapsed="false">
      <c r="A592" s="75"/>
      <c r="B592" s="76"/>
      <c r="C592" s="76"/>
      <c r="D592" s="76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customFormat="false" ht="15" hidden="false" customHeight="false" outlineLevel="0" collapsed="false">
      <c r="A593" s="75"/>
      <c r="B593" s="76"/>
      <c r="C593" s="76"/>
      <c r="D593" s="76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customFormat="false" ht="15" hidden="false" customHeight="false" outlineLevel="0" collapsed="false">
      <c r="A594" s="75"/>
      <c r="B594" s="76"/>
      <c r="C594" s="76"/>
      <c r="D594" s="76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customFormat="false" ht="15" hidden="false" customHeight="false" outlineLevel="0" collapsed="false">
      <c r="A595" s="75"/>
      <c r="B595" s="76"/>
      <c r="C595" s="76"/>
      <c r="D595" s="76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customFormat="false" ht="15" hidden="false" customHeight="false" outlineLevel="0" collapsed="false">
      <c r="A596" s="75"/>
      <c r="B596" s="76"/>
      <c r="C596" s="76"/>
      <c r="D596" s="76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customFormat="false" ht="15" hidden="false" customHeight="false" outlineLevel="0" collapsed="false">
      <c r="A597" s="75"/>
      <c r="B597" s="76"/>
      <c r="C597" s="76"/>
      <c r="D597" s="76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customFormat="false" ht="15" hidden="false" customHeight="false" outlineLevel="0" collapsed="false">
      <c r="A598" s="75"/>
      <c r="B598" s="76"/>
      <c r="C598" s="76"/>
      <c r="D598" s="76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customFormat="false" ht="15" hidden="false" customHeight="false" outlineLevel="0" collapsed="false">
      <c r="A599" s="75"/>
      <c r="B599" s="76"/>
      <c r="C599" s="76"/>
      <c r="D599" s="76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customFormat="false" ht="15" hidden="false" customHeight="false" outlineLevel="0" collapsed="false">
      <c r="A600" s="75"/>
      <c r="B600" s="76"/>
      <c r="C600" s="76"/>
      <c r="D600" s="76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customFormat="false" ht="15" hidden="false" customHeight="false" outlineLevel="0" collapsed="false">
      <c r="A601" s="75"/>
      <c r="B601" s="76"/>
      <c r="C601" s="76"/>
      <c r="D601" s="76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customFormat="false" ht="15" hidden="false" customHeight="false" outlineLevel="0" collapsed="false">
      <c r="A602" s="75"/>
      <c r="B602" s="76"/>
      <c r="C602" s="76"/>
      <c r="D602" s="76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customFormat="false" ht="15" hidden="false" customHeight="false" outlineLevel="0" collapsed="false">
      <c r="A603" s="75"/>
      <c r="B603" s="76"/>
      <c r="C603" s="76"/>
      <c r="D603" s="76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customFormat="false" ht="15" hidden="false" customHeight="false" outlineLevel="0" collapsed="false">
      <c r="A604" s="75"/>
      <c r="B604" s="76"/>
      <c r="C604" s="76"/>
      <c r="D604" s="76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customFormat="false" ht="15" hidden="false" customHeight="false" outlineLevel="0" collapsed="false">
      <c r="A605" s="75"/>
      <c r="B605" s="76"/>
      <c r="C605" s="76"/>
      <c r="D605" s="76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customFormat="false" ht="15" hidden="false" customHeight="false" outlineLevel="0" collapsed="false">
      <c r="A606" s="75"/>
      <c r="B606" s="76"/>
      <c r="C606" s="76"/>
      <c r="D606" s="76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customFormat="false" ht="15" hidden="false" customHeight="false" outlineLevel="0" collapsed="false">
      <c r="A607" s="75"/>
      <c r="B607" s="76"/>
      <c r="C607" s="76"/>
      <c r="D607" s="76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customFormat="false" ht="15" hidden="false" customHeight="false" outlineLevel="0" collapsed="false">
      <c r="A608" s="75"/>
      <c r="B608" s="76"/>
      <c r="C608" s="76"/>
      <c r="D608" s="76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customFormat="false" ht="15" hidden="false" customHeight="false" outlineLevel="0" collapsed="false">
      <c r="A609" s="75"/>
      <c r="B609" s="76"/>
      <c r="C609" s="76"/>
      <c r="D609" s="76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customFormat="false" ht="15" hidden="false" customHeight="false" outlineLevel="0" collapsed="false">
      <c r="A610" s="75"/>
      <c r="B610" s="76"/>
      <c r="C610" s="76"/>
      <c r="D610" s="76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customFormat="false" ht="15" hidden="false" customHeight="false" outlineLevel="0" collapsed="false">
      <c r="A611" s="75"/>
      <c r="B611" s="76"/>
      <c r="C611" s="76"/>
      <c r="D611" s="76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customFormat="false" ht="15" hidden="false" customHeight="false" outlineLevel="0" collapsed="false">
      <c r="A612" s="75"/>
      <c r="B612" s="76"/>
      <c r="C612" s="76"/>
      <c r="D612" s="76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customFormat="false" ht="15" hidden="false" customHeight="false" outlineLevel="0" collapsed="false">
      <c r="A613" s="75"/>
      <c r="B613" s="76"/>
      <c r="C613" s="76"/>
      <c r="D613" s="76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customFormat="false" ht="15" hidden="false" customHeight="false" outlineLevel="0" collapsed="false">
      <c r="A614" s="75"/>
      <c r="B614" s="76"/>
      <c r="C614" s="76"/>
      <c r="D614" s="76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customFormat="false" ht="15" hidden="false" customHeight="false" outlineLevel="0" collapsed="false">
      <c r="A615" s="75"/>
      <c r="B615" s="76"/>
      <c r="C615" s="76"/>
      <c r="D615" s="76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customFormat="false" ht="15" hidden="false" customHeight="false" outlineLevel="0" collapsed="false">
      <c r="A616" s="75"/>
      <c r="B616" s="76"/>
      <c r="C616" s="76"/>
      <c r="D616" s="76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customFormat="false" ht="15" hidden="false" customHeight="false" outlineLevel="0" collapsed="false">
      <c r="A617" s="75"/>
      <c r="B617" s="76"/>
      <c r="C617" s="76"/>
      <c r="D617" s="76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customFormat="false" ht="15" hidden="false" customHeight="false" outlineLevel="0" collapsed="false">
      <c r="A618" s="75"/>
      <c r="B618" s="76"/>
      <c r="C618" s="76"/>
      <c r="D618" s="76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customFormat="false" ht="15" hidden="false" customHeight="false" outlineLevel="0" collapsed="false">
      <c r="A619" s="75"/>
      <c r="B619" s="76"/>
      <c r="C619" s="76"/>
      <c r="D619" s="76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customFormat="false" ht="15" hidden="false" customHeight="false" outlineLevel="0" collapsed="false">
      <c r="A620" s="75"/>
      <c r="B620" s="76"/>
      <c r="C620" s="76"/>
      <c r="D620" s="76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customFormat="false" ht="15" hidden="false" customHeight="false" outlineLevel="0" collapsed="false">
      <c r="A621" s="75"/>
      <c r="B621" s="76"/>
      <c r="C621" s="76"/>
      <c r="D621" s="76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customFormat="false" ht="15" hidden="false" customHeight="false" outlineLevel="0" collapsed="false">
      <c r="A622" s="75"/>
      <c r="B622" s="76"/>
      <c r="C622" s="76"/>
      <c r="D622" s="76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customFormat="false" ht="15" hidden="false" customHeight="false" outlineLevel="0" collapsed="false">
      <c r="A623" s="75"/>
      <c r="B623" s="76"/>
      <c r="C623" s="76"/>
      <c r="D623" s="76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customFormat="false" ht="15" hidden="false" customHeight="false" outlineLevel="0" collapsed="false">
      <c r="A624" s="75"/>
      <c r="B624" s="76"/>
      <c r="C624" s="76"/>
      <c r="D624" s="76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customFormat="false" ht="15" hidden="false" customHeight="false" outlineLevel="0" collapsed="false">
      <c r="A625" s="75"/>
      <c r="B625" s="76"/>
      <c r="C625" s="76"/>
      <c r="D625" s="76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customFormat="false" ht="15" hidden="false" customHeight="false" outlineLevel="0" collapsed="false">
      <c r="A626" s="75"/>
      <c r="B626" s="76"/>
      <c r="C626" s="76"/>
      <c r="D626" s="76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customFormat="false" ht="15" hidden="false" customHeight="false" outlineLevel="0" collapsed="false">
      <c r="A627" s="75"/>
      <c r="B627" s="76"/>
      <c r="C627" s="76"/>
      <c r="D627" s="76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customFormat="false" ht="15" hidden="false" customHeight="false" outlineLevel="0" collapsed="false">
      <c r="A628" s="75"/>
      <c r="B628" s="76"/>
      <c r="C628" s="76"/>
      <c r="D628" s="76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customFormat="false" ht="15" hidden="false" customHeight="false" outlineLevel="0" collapsed="false">
      <c r="A629" s="75"/>
      <c r="B629" s="76"/>
      <c r="C629" s="76"/>
      <c r="D629" s="76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customFormat="false" ht="15" hidden="false" customHeight="false" outlineLevel="0" collapsed="false">
      <c r="A630" s="75"/>
      <c r="B630" s="76"/>
      <c r="C630" s="76"/>
      <c r="D630" s="76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customFormat="false" ht="15" hidden="false" customHeight="false" outlineLevel="0" collapsed="false">
      <c r="A631" s="75"/>
      <c r="B631" s="76"/>
      <c r="C631" s="76"/>
      <c r="D631" s="76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customFormat="false" ht="15" hidden="false" customHeight="false" outlineLevel="0" collapsed="false">
      <c r="A632" s="75"/>
      <c r="B632" s="76"/>
      <c r="C632" s="76"/>
      <c r="D632" s="76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customFormat="false" ht="15" hidden="false" customHeight="false" outlineLevel="0" collapsed="false">
      <c r="A633" s="75"/>
      <c r="B633" s="76"/>
      <c r="C633" s="76"/>
      <c r="D633" s="76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customFormat="false" ht="15" hidden="false" customHeight="false" outlineLevel="0" collapsed="false">
      <c r="A634" s="75"/>
      <c r="B634" s="76"/>
      <c r="C634" s="76"/>
      <c r="D634" s="76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customFormat="false" ht="15" hidden="false" customHeight="false" outlineLevel="0" collapsed="false">
      <c r="A635" s="75"/>
      <c r="B635" s="76"/>
      <c r="C635" s="76"/>
      <c r="D635" s="76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customFormat="false" ht="15" hidden="false" customHeight="false" outlineLevel="0" collapsed="false">
      <c r="A636" s="75"/>
      <c r="B636" s="76"/>
      <c r="C636" s="76"/>
      <c r="D636" s="76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customFormat="false" ht="15" hidden="false" customHeight="false" outlineLevel="0" collapsed="false">
      <c r="A637" s="75"/>
      <c r="B637" s="76"/>
      <c r="C637" s="76"/>
      <c r="D637" s="76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customFormat="false" ht="15" hidden="false" customHeight="false" outlineLevel="0" collapsed="false">
      <c r="A638" s="75"/>
      <c r="B638" s="76"/>
      <c r="C638" s="76"/>
      <c r="D638" s="76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customFormat="false" ht="15" hidden="false" customHeight="false" outlineLevel="0" collapsed="false">
      <c r="A639" s="75"/>
      <c r="B639" s="76"/>
      <c r="C639" s="76"/>
      <c r="D639" s="76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customFormat="false" ht="15" hidden="false" customHeight="false" outlineLevel="0" collapsed="false">
      <c r="A640" s="75"/>
      <c r="B640" s="76"/>
      <c r="C640" s="76"/>
      <c r="D640" s="76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customFormat="false" ht="15" hidden="false" customHeight="false" outlineLevel="0" collapsed="false">
      <c r="A641" s="75"/>
      <c r="B641" s="76"/>
      <c r="C641" s="76"/>
      <c r="D641" s="76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customFormat="false" ht="15" hidden="false" customHeight="false" outlineLevel="0" collapsed="false">
      <c r="A642" s="75"/>
      <c r="B642" s="76"/>
      <c r="C642" s="76"/>
      <c r="D642" s="76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customFormat="false" ht="15" hidden="false" customHeight="false" outlineLevel="0" collapsed="false">
      <c r="A643" s="75"/>
      <c r="B643" s="76"/>
      <c r="C643" s="76"/>
      <c r="D643" s="76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customFormat="false" ht="15" hidden="false" customHeight="false" outlineLevel="0" collapsed="false">
      <c r="A644" s="75"/>
      <c r="B644" s="76"/>
      <c r="C644" s="76"/>
      <c r="D644" s="76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customFormat="false" ht="15" hidden="false" customHeight="false" outlineLevel="0" collapsed="false">
      <c r="A645" s="75"/>
      <c r="B645" s="76"/>
      <c r="C645" s="76"/>
      <c r="D645" s="76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customFormat="false" ht="15" hidden="false" customHeight="false" outlineLevel="0" collapsed="false">
      <c r="A646" s="75"/>
      <c r="B646" s="76"/>
      <c r="C646" s="76"/>
      <c r="D646" s="76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customFormat="false" ht="15" hidden="false" customHeight="false" outlineLevel="0" collapsed="false">
      <c r="A647" s="75"/>
      <c r="B647" s="76"/>
      <c r="C647" s="76"/>
      <c r="D647" s="76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customFormat="false" ht="15" hidden="false" customHeight="false" outlineLevel="0" collapsed="false">
      <c r="A648" s="75"/>
      <c r="B648" s="76"/>
      <c r="C648" s="76"/>
      <c r="D648" s="76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customFormat="false" ht="15" hidden="false" customHeight="false" outlineLevel="0" collapsed="false">
      <c r="A649" s="75"/>
      <c r="B649" s="76"/>
      <c r="C649" s="76"/>
      <c r="D649" s="76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customFormat="false" ht="15" hidden="false" customHeight="false" outlineLevel="0" collapsed="false">
      <c r="A650" s="75"/>
      <c r="B650" s="76"/>
      <c r="C650" s="76"/>
      <c r="D650" s="76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customFormat="false" ht="15" hidden="false" customHeight="false" outlineLevel="0" collapsed="false">
      <c r="A651" s="75"/>
      <c r="B651" s="76"/>
      <c r="C651" s="76"/>
      <c r="D651" s="76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customFormat="false" ht="15" hidden="false" customHeight="false" outlineLevel="0" collapsed="false">
      <c r="A652" s="75"/>
      <c r="B652" s="76"/>
      <c r="C652" s="76"/>
      <c r="D652" s="76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customFormat="false" ht="15" hidden="false" customHeight="false" outlineLevel="0" collapsed="false">
      <c r="A653" s="75"/>
      <c r="B653" s="76"/>
      <c r="C653" s="76"/>
      <c r="D653" s="76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customFormat="false" ht="15" hidden="false" customHeight="false" outlineLevel="0" collapsed="false">
      <c r="A654" s="75"/>
      <c r="B654" s="76"/>
      <c r="C654" s="76"/>
      <c r="D654" s="76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customFormat="false" ht="15" hidden="false" customHeight="false" outlineLevel="0" collapsed="false">
      <c r="A655" s="75"/>
      <c r="B655" s="76"/>
      <c r="C655" s="76"/>
      <c r="D655" s="76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customFormat="false" ht="15" hidden="false" customHeight="false" outlineLevel="0" collapsed="false">
      <c r="A656" s="75"/>
      <c r="B656" s="76"/>
      <c r="C656" s="76"/>
      <c r="D656" s="76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customFormat="false" ht="15" hidden="false" customHeight="false" outlineLevel="0" collapsed="false">
      <c r="A657" s="75"/>
      <c r="B657" s="76"/>
      <c r="C657" s="76"/>
      <c r="D657" s="76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customFormat="false" ht="15" hidden="false" customHeight="false" outlineLevel="0" collapsed="false">
      <c r="A658" s="75"/>
      <c r="B658" s="76"/>
      <c r="C658" s="76"/>
      <c r="D658" s="76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customFormat="false" ht="15" hidden="false" customHeight="false" outlineLevel="0" collapsed="false">
      <c r="A659" s="75"/>
      <c r="B659" s="76"/>
      <c r="C659" s="76"/>
      <c r="D659" s="76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customFormat="false" ht="15" hidden="false" customHeight="false" outlineLevel="0" collapsed="false">
      <c r="A660" s="75"/>
      <c r="B660" s="76"/>
      <c r="C660" s="76"/>
      <c r="D660" s="76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customFormat="false" ht="15" hidden="false" customHeight="false" outlineLevel="0" collapsed="false">
      <c r="A661" s="75"/>
      <c r="B661" s="76"/>
      <c r="C661" s="76"/>
      <c r="D661" s="76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customFormat="false" ht="15" hidden="false" customHeight="false" outlineLevel="0" collapsed="false">
      <c r="A662" s="75"/>
      <c r="B662" s="76"/>
      <c r="C662" s="76"/>
      <c r="D662" s="76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customFormat="false" ht="15" hidden="false" customHeight="false" outlineLevel="0" collapsed="false">
      <c r="A663" s="75"/>
      <c r="B663" s="76"/>
      <c r="C663" s="76"/>
      <c r="D663" s="76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customFormat="false" ht="15" hidden="false" customHeight="false" outlineLevel="0" collapsed="false">
      <c r="A664" s="75"/>
      <c r="B664" s="76"/>
      <c r="C664" s="76"/>
      <c r="D664" s="76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customFormat="false" ht="15" hidden="false" customHeight="false" outlineLevel="0" collapsed="false">
      <c r="A665" s="75"/>
      <c r="B665" s="76"/>
      <c r="C665" s="76"/>
      <c r="D665" s="76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customFormat="false" ht="15" hidden="false" customHeight="false" outlineLevel="0" collapsed="false">
      <c r="A666" s="75"/>
      <c r="B666" s="76"/>
      <c r="C666" s="76"/>
      <c r="D666" s="76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customFormat="false" ht="15" hidden="false" customHeight="false" outlineLevel="0" collapsed="false">
      <c r="A667" s="75"/>
      <c r="B667" s="76"/>
      <c r="C667" s="76"/>
      <c r="D667" s="76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customFormat="false" ht="15" hidden="false" customHeight="false" outlineLevel="0" collapsed="false">
      <c r="A668" s="75"/>
      <c r="B668" s="76"/>
      <c r="C668" s="76"/>
      <c r="D668" s="76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customFormat="false" ht="15" hidden="false" customHeight="false" outlineLevel="0" collapsed="false">
      <c r="A669" s="75"/>
      <c r="B669" s="76"/>
      <c r="C669" s="76"/>
      <c r="D669" s="76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customFormat="false" ht="15" hidden="false" customHeight="false" outlineLevel="0" collapsed="false">
      <c r="A670" s="75"/>
      <c r="B670" s="76"/>
      <c r="C670" s="76"/>
      <c r="D670" s="76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customFormat="false" ht="15" hidden="false" customHeight="false" outlineLevel="0" collapsed="false">
      <c r="A671" s="75"/>
      <c r="B671" s="76"/>
      <c r="C671" s="76"/>
      <c r="D671" s="76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customFormat="false" ht="15" hidden="false" customHeight="false" outlineLevel="0" collapsed="false">
      <c r="A672" s="75"/>
      <c r="B672" s="76"/>
      <c r="C672" s="76"/>
      <c r="D672" s="76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customFormat="false" ht="15" hidden="false" customHeight="false" outlineLevel="0" collapsed="false">
      <c r="A673" s="75"/>
      <c r="B673" s="76"/>
      <c r="C673" s="76"/>
      <c r="D673" s="76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customFormat="false" ht="15" hidden="false" customHeight="false" outlineLevel="0" collapsed="false">
      <c r="A674" s="75"/>
      <c r="B674" s="76"/>
      <c r="C674" s="76"/>
      <c r="D674" s="76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customFormat="false" ht="15" hidden="false" customHeight="false" outlineLevel="0" collapsed="false">
      <c r="A675" s="75"/>
      <c r="B675" s="76"/>
      <c r="C675" s="76"/>
      <c r="D675" s="76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customFormat="false" ht="15" hidden="false" customHeight="false" outlineLevel="0" collapsed="false">
      <c r="A676" s="75"/>
      <c r="B676" s="76"/>
      <c r="C676" s="76"/>
      <c r="D676" s="76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customFormat="false" ht="15" hidden="false" customHeight="false" outlineLevel="0" collapsed="false">
      <c r="A677" s="75"/>
      <c r="B677" s="76"/>
      <c r="C677" s="76"/>
      <c r="D677" s="76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customFormat="false" ht="15" hidden="false" customHeight="false" outlineLevel="0" collapsed="false">
      <c r="A678" s="75"/>
      <c r="B678" s="76"/>
      <c r="C678" s="76"/>
      <c r="D678" s="76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customFormat="false" ht="15" hidden="false" customHeight="false" outlineLevel="0" collapsed="false">
      <c r="A679" s="75"/>
      <c r="B679" s="76"/>
      <c r="C679" s="76"/>
      <c r="D679" s="76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customFormat="false" ht="15" hidden="false" customHeight="false" outlineLevel="0" collapsed="false">
      <c r="A680" s="75"/>
      <c r="B680" s="76"/>
      <c r="C680" s="76"/>
      <c r="D680" s="76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customFormat="false" ht="15" hidden="false" customHeight="false" outlineLevel="0" collapsed="false">
      <c r="A681" s="75"/>
      <c r="B681" s="76"/>
      <c r="C681" s="76"/>
      <c r="D681" s="76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customFormat="false" ht="15" hidden="false" customHeight="false" outlineLevel="0" collapsed="false">
      <c r="A682" s="75"/>
      <c r="B682" s="76"/>
      <c r="C682" s="76"/>
      <c r="D682" s="76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customFormat="false" ht="15" hidden="false" customHeight="false" outlineLevel="0" collapsed="false">
      <c r="A683" s="75"/>
      <c r="B683" s="76"/>
      <c r="C683" s="76"/>
      <c r="D683" s="76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customFormat="false" ht="15" hidden="false" customHeight="false" outlineLevel="0" collapsed="false">
      <c r="A684" s="75"/>
      <c r="B684" s="76"/>
      <c r="C684" s="76"/>
      <c r="D684" s="76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customFormat="false" ht="15" hidden="false" customHeight="false" outlineLevel="0" collapsed="false">
      <c r="A685" s="75"/>
      <c r="B685" s="76"/>
      <c r="C685" s="76"/>
      <c r="D685" s="76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customFormat="false" ht="15" hidden="false" customHeight="false" outlineLevel="0" collapsed="false">
      <c r="A686" s="75"/>
      <c r="B686" s="76"/>
      <c r="C686" s="76"/>
      <c r="D686" s="76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customFormat="false" ht="15" hidden="false" customHeight="false" outlineLevel="0" collapsed="false">
      <c r="A687" s="75"/>
      <c r="B687" s="76"/>
      <c r="C687" s="76"/>
      <c r="D687" s="76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customFormat="false" ht="15" hidden="false" customHeight="false" outlineLevel="0" collapsed="false">
      <c r="A688" s="75"/>
      <c r="B688" s="76"/>
      <c r="C688" s="76"/>
      <c r="D688" s="76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customFormat="false" ht="15" hidden="false" customHeight="false" outlineLevel="0" collapsed="false">
      <c r="A689" s="75"/>
      <c r="B689" s="76"/>
      <c r="C689" s="76"/>
      <c r="D689" s="76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customFormat="false" ht="15" hidden="false" customHeight="false" outlineLevel="0" collapsed="false">
      <c r="A690" s="75"/>
      <c r="B690" s="76"/>
      <c r="C690" s="76"/>
      <c r="D690" s="76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customFormat="false" ht="15" hidden="false" customHeight="false" outlineLevel="0" collapsed="false">
      <c r="A691" s="75"/>
      <c r="B691" s="76"/>
      <c r="C691" s="76"/>
      <c r="D691" s="76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customFormat="false" ht="15" hidden="false" customHeight="false" outlineLevel="0" collapsed="false">
      <c r="A692" s="75"/>
      <c r="B692" s="76"/>
      <c r="C692" s="76"/>
      <c r="D692" s="76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customFormat="false" ht="15" hidden="false" customHeight="false" outlineLevel="0" collapsed="false">
      <c r="A693" s="75"/>
      <c r="B693" s="76"/>
      <c r="C693" s="76"/>
      <c r="D693" s="76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customFormat="false" ht="15" hidden="false" customHeight="false" outlineLevel="0" collapsed="false">
      <c r="A694" s="75"/>
      <c r="B694" s="76"/>
      <c r="C694" s="76"/>
      <c r="D694" s="76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customFormat="false" ht="15" hidden="false" customHeight="false" outlineLevel="0" collapsed="false">
      <c r="A695" s="75"/>
      <c r="B695" s="76"/>
      <c r="C695" s="76"/>
      <c r="D695" s="76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customFormat="false" ht="15" hidden="false" customHeight="false" outlineLevel="0" collapsed="false">
      <c r="A696" s="75"/>
      <c r="B696" s="76"/>
      <c r="C696" s="76"/>
      <c r="D696" s="76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customFormat="false" ht="15" hidden="false" customHeight="false" outlineLevel="0" collapsed="false">
      <c r="A697" s="75"/>
      <c r="B697" s="76"/>
      <c r="C697" s="76"/>
      <c r="D697" s="76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customFormat="false" ht="15" hidden="false" customHeight="false" outlineLevel="0" collapsed="false">
      <c r="A698" s="75"/>
      <c r="B698" s="76"/>
      <c r="C698" s="76"/>
      <c r="D698" s="76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customFormat="false" ht="15" hidden="false" customHeight="false" outlineLevel="0" collapsed="false">
      <c r="A699" s="75"/>
      <c r="B699" s="76"/>
      <c r="C699" s="76"/>
      <c r="D699" s="76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customFormat="false" ht="15" hidden="false" customHeight="false" outlineLevel="0" collapsed="false">
      <c r="A700" s="75"/>
      <c r="B700" s="76"/>
      <c r="C700" s="76"/>
      <c r="D700" s="76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customFormat="false" ht="15" hidden="false" customHeight="false" outlineLevel="0" collapsed="false">
      <c r="A701" s="75"/>
      <c r="B701" s="76"/>
      <c r="C701" s="76"/>
      <c r="D701" s="76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customFormat="false" ht="15" hidden="false" customHeight="false" outlineLevel="0" collapsed="false">
      <c r="A702" s="75"/>
      <c r="B702" s="76"/>
      <c r="C702" s="76"/>
      <c r="D702" s="76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customFormat="false" ht="15" hidden="false" customHeight="false" outlineLevel="0" collapsed="false">
      <c r="A703" s="75"/>
      <c r="B703" s="76"/>
      <c r="C703" s="76"/>
      <c r="D703" s="76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customFormat="false" ht="15" hidden="false" customHeight="false" outlineLevel="0" collapsed="false">
      <c r="A704" s="75"/>
      <c r="B704" s="76"/>
      <c r="C704" s="76"/>
      <c r="D704" s="76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customFormat="false" ht="15" hidden="false" customHeight="false" outlineLevel="0" collapsed="false">
      <c r="A705" s="75"/>
      <c r="B705" s="76"/>
      <c r="C705" s="76"/>
      <c r="D705" s="76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customFormat="false" ht="15" hidden="false" customHeight="false" outlineLevel="0" collapsed="false">
      <c r="A706" s="75"/>
      <c r="B706" s="76"/>
      <c r="C706" s="76"/>
      <c r="D706" s="76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customFormat="false" ht="15" hidden="false" customHeight="false" outlineLevel="0" collapsed="false">
      <c r="A707" s="75"/>
      <c r="B707" s="76"/>
      <c r="C707" s="76"/>
      <c r="D707" s="76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customFormat="false" ht="15" hidden="false" customHeight="false" outlineLevel="0" collapsed="false">
      <c r="A708" s="75"/>
      <c r="B708" s="76"/>
      <c r="C708" s="76"/>
      <c r="D708" s="76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customFormat="false" ht="15" hidden="false" customHeight="false" outlineLevel="0" collapsed="false">
      <c r="A709" s="75"/>
      <c r="B709" s="76"/>
      <c r="C709" s="76"/>
      <c r="D709" s="76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customFormat="false" ht="15" hidden="false" customHeight="false" outlineLevel="0" collapsed="false">
      <c r="A710" s="75"/>
      <c r="B710" s="76"/>
      <c r="C710" s="76"/>
      <c r="D710" s="76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customFormat="false" ht="15" hidden="false" customHeight="false" outlineLevel="0" collapsed="false">
      <c r="A711" s="75"/>
      <c r="B711" s="76"/>
      <c r="C711" s="76"/>
      <c r="D711" s="76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customFormat="false" ht="15" hidden="false" customHeight="false" outlineLevel="0" collapsed="false">
      <c r="A712" s="75"/>
      <c r="B712" s="76"/>
      <c r="C712" s="76"/>
      <c r="D712" s="76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customFormat="false" ht="15" hidden="false" customHeight="false" outlineLevel="0" collapsed="false">
      <c r="A713" s="75"/>
      <c r="B713" s="76"/>
      <c r="C713" s="76"/>
      <c r="D713" s="76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customFormat="false" ht="15" hidden="false" customHeight="false" outlineLevel="0" collapsed="false">
      <c r="A714" s="75"/>
      <c r="B714" s="76"/>
      <c r="C714" s="76"/>
      <c r="D714" s="76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customFormat="false" ht="15" hidden="false" customHeight="false" outlineLevel="0" collapsed="false">
      <c r="A715" s="75"/>
      <c r="B715" s="76"/>
      <c r="C715" s="76"/>
      <c r="D715" s="76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customFormat="false" ht="15" hidden="false" customHeight="false" outlineLevel="0" collapsed="false">
      <c r="A716" s="75"/>
      <c r="B716" s="76"/>
      <c r="C716" s="76"/>
      <c r="D716" s="76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customFormat="false" ht="15" hidden="false" customHeight="false" outlineLevel="0" collapsed="false">
      <c r="A717" s="75"/>
      <c r="B717" s="76"/>
      <c r="C717" s="76"/>
      <c r="D717" s="76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customFormat="false" ht="15" hidden="false" customHeight="false" outlineLevel="0" collapsed="false">
      <c r="A718" s="75"/>
      <c r="B718" s="76"/>
      <c r="C718" s="76"/>
      <c r="D718" s="76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customFormat="false" ht="15" hidden="false" customHeight="false" outlineLevel="0" collapsed="false">
      <c r="A719" s="75"/>
      <c r="B719" s="76"/>
      <c r="C719" s="76"/>
      <c r="D719" s="76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customFormat="false" ht="15" hidden="false" customHeight="false" outlineLevel="0" collapsed="false">
      <c r="A720" s="75"/>
      <c r="B720" s="76"/>
      <c r="C720" s="76"/>
      <c r="D720" s="76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customFormat="false" ht="15" hidden="false" customHeight="false" outlineLevel="0" collapsed="false">
      <c r="A721" s="75"/>
      <c r="B721" s="76"/>
      <c r="C721" s="76"/>
      <c r="D721" s="76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customFormat="false" ht="15" hidden="false" customHeight="false" outlineLevel="0" collapsed="false">
      <c r="A722" s="75"/>
      <c r="B722" s="76"/>
      <c r="C722" s="76"/>
      <c r="D722" s="76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customFormat="false" ht="15" hidden="false" customHeight="false" outlineLevel="0" collapsed="false">
      <c r="A723" s="75"/>
      <c r="B723" s="76"/>
      <c r="C723" s="76"/>
      <c r="D723" s="76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customFormat="false" ht="15" hidden="false" customHeight="false" outlineLevel="0" collapsed="false">
      <c r="A724" s="75"/>
      <c r="B724" s="76"/>
      <c r="C724" s="76"/>
      <c r="D724" s="76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customFormat="false" ht="15" hidden="false" customHeight="false" outlineLevel="0" collapsed="false">
      <c r="A725" s="75"/>
      <c r="B725" s="76"/>
      <c r="C725" s="76"/>
      <c r="D725" s="76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customFormat="false" ht="15" hidden="false" customHeight="false" outlineLevel="0" collapsed="false">
      <c r="A726" s="75"/>
      <c r="B726" s="76"/>
      <c r="C726" s="76"/>
      <c r="D726" s="76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customFormat="false" ht="15" hidden="false" customHeight="false" outlineLevel="0" collapsed="false">
      <c r="A727" s="75"/>
      <c r="B727" s="76"/>
      <c r="C727" s="76"/>
      <c r="D727" s="76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customFormat="false" ht="15" hidden="false" customHeight="false" outlineLevel="0" collapsed="false">
      <c r="A728" s="75"/>
      <c r="B728" s="76"/>
      <c r="C728" s="76"/>
      <c r="D728" s="76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customFormat="false" ht="15" hidden="false" customHeight="false" outlineLevel="0" collapsed="false">
      <c r="A729" s="75"/>
      <c r="B729" s="76"/>
      <c r="C729" s="76"/>
      <c r="D729" s="76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customFormat="false" ht="15" hidden="false" customHeight="false" outlineLevel="0" collapsed="false">
      <c r="A730" s="75"/>
      <c r="B730" s="76"/>
      <c r="C730" s="76"/>
      <c r="D730" s="76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customFormat="false" ht="15" hidden="false" customHeight="false" outlineLevel="0" collapsed="false">
      <c r="A731" s="75"/>
      <c r="B731" s="76"/>
      <c r="C731" s="76"/>
      <c r="D731" s="76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customFormat="false" ht="15" hidden="false" customHeight="false" outlineLevel="0" collapsed="false">
      <c r="A732" s="75"/>
      <c r="B732" s="76"/>
      <c r="C732" s="76"/>
      <c r="D732" s="76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customFormat="false" ht="15" hidden="false" customHeight="false" outlineLevel="0" collapsed="false">
      <c r="A733" s="75"/>
      <c r="B733" s="76"/>
      <c r="C733" s="76"/>
      <c r="D733" s="76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customFormat="false" ht="15" hidden="false" customHeight="false" outlineLevel="0" collapsed="false">
      <c r="A734" s="75"/>
      <c r="B734" s="76"/>
      <c r="C734" s="76"/>
      <c r="D734" s="76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customFormat="false" ht="15" hidden="false" customHeight="false" outlineLevel="0" collapsed="false">
      <c r="A735" s="75"/>
      <c r="B735" s="76"/>
      <c r="C735" s="76"/>
      <c r="D735" s="76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customFormat="false" ht="15" hidden="false" customHeight="false" outlineLevel="0" collapsed="false">
      <c r="A736" s="75"/>
      <c r="B736" s="76"/>
      <c r="C736" s="76"/>
      <c r="D736" s="76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customFormat="false" ht="15" hidden="false" customHeight="false" outlineLevel="0" collapsed="false">
      <c r="A737" s="75"/>
      <c r="B737" s="76"/>
      <c r="C737" s="76"/>
      <c r="D737" s="76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customFormat="false" ht="15" hidden="false" customHeight="false" outlineLevel="0" collapsed="false">
      <c r="A738" s="75"/>
      <c r="B738" s="76"/>
      <c r="C738" s="76"/>
      <c r="D738" s="76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customFormat="false" ht="15" hidden="false" customHeight="false" outlineLevel="0" collapsed="false">
      <c r="A739" s="75"/>
      <c r="B739" s="76"/>
      <c r="C739" s="76"/>
      <c r="D739" s="76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customFormat="false" ht="15" hidden="false" customHeight="false" outlineLevel="0" collapsed="false">
      <c r="A740" s="75"/>
      <c r="B740" s="76"/>
      <c r="C740" s="76"/>
      <c r="D740" s="76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customFormat="false" ht="15" hidden="false" customHeight="false" outlineLevel="0" collapsed="false">
      <c r="A741" s="75"/>
      <c r="B741" s="76"/>
      <c r="C741" s="76"/>
      <c r="D741" s="76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customFormat="false" ht="15" hidden="false" customHeight="false" outlineLevel="0" collapsed="false">
      <c r="A742" s="75"/>
      <c r="B742" s="76"/>
      <c r="C742" s="76"/>
      <c r="D742" s="76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customFormat="false" ht="15" hidden="false" customHeight="false" outlineLevel="0" collapsed="false">
      <c r="A743" s="75"/>
      <c r="B743" s="76"/>
      <c r="C743" s="76"/>
      <c r="D743" s="76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customFormat="false" ht="15" hidden="false" customHeight="false" outlineLevel="0" collapsed="false">
      <c r="A744" s="75"/>
      <c r="B744" s="76"/>
      <c r="C744" s="76"/>
      <c r="D744" s="76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customFormat="false" ht="15" hidden="false" customHeight="false" outlineLevel="0" collapsed="false">
      <c r="A745" s="75"/>
      <c r="B745" s="76"/>
      <c r="C745" s="76"/>
      <c r="D745" s="76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customFormat="false" ht="15" hidden="false" customHeight="false" outlineLevel="0" collapsed="false">
      <c r="A746" s="75"/>
      <c r="B746" s="76"/>
      <c r="C746" s="76"/>
      <c r="D746" s="76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customFormat="false" ht="15" hidden="false" customHeight="false" outlineLevel="0" collapsed="false">
      <c r="A747" s="75"/>
      <c r="B747" s="76"/>
      <c r="C747" s="76"/>
      <c r="D747" s="76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customFormat="false" ht="15" hidden="false" customHeight="false" outlineLevel="0" collapsed="false">
      <c r="A748" s="75"/>
      <c r="B748" s="76"/>
      <c r="C748" s="76"/>
      <c r="D748" s="76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customFormat="false" ht="15" hidden="false" customHeight="false" outlineLevel="0" collapsed="false">
      <c r="A749" s="75"/>
      <c r="B749" s="76"/>
      <c r="C749" s="76"/>
      <c r="D749" s="76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customFormat="false" ht="15" hidden="false" customHeight="false" outlineLevel="0" collapsed="false">
      <c r="A750" s="75"/>
      <c r="B750" s="76"/>
      <c r="C750" s="76"/>
      <c r="D750" s="76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customFormat="false" ht="15" hidden="false" customHeight="false" outlineLevel="0" collapsed="false">
      <c r="A751" s="75"/>
      <c r="B751" s="76"/>
      <c r="C751" s="76"/>
      <c r="D751" s="76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customFormat="false" ht="15" hidden="false" customHeight="false" outlineLevel="0" collapsed="false">
      <c r="A752" s="75"/>
      <c r="B752" s="76"/>
      <c r="C752" s="76"/>
      <c r="D752" s="76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customFormat="false" ht="15" hidden="false" customHeight="false" outlineLevel="0" collapsed="false">
      <c r="A753" s="75"/>
      <c r="B753" s="76"/>
      <c r="C753" s="76"/>
      <c r="D753" s="76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customFormat="false" ht="15" hidden="false" customHeight="false" outlineLevel="0" collapsed="false">
      <c r="A754" s="75"/>
      <c r="B754" s="76"/>
      <c r="C754" s="76"/>
      <c r="D754" s="76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customFormat="false" ht="15" hidden="false" customHeight="false" outlineLevel="0" collapsed="false">
      <c r="A755" s="75"/>
      <c r="B755" s="76"/>
      <c r="C755" s="76"/>
      <c r="D755" s="76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customFormat="false" ht="15" hidden="false" customHeight="false" outlineLevel="0" collapsed="false">
      <c r="A756" s="75"/>
      <c r="B756" s="76"/>
      <c r="C756" s="76"/>
      <c r="D756" s="76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customFormat="false" ht="15" hidden="false" customHeight="false" outlineLevel="0" collapsed="false">
      <c r="A757" s="75"/>
      <c r="B757" s="76"/>
      <c r="C757" s="76"/>
      <c r="D757" s="76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customFormat="false" ht="15" hidden="false" customHeight="false" outlineLevel="0" collapsed="false">
      <c r="A758" s="75"/>
      <c r="B758" s="76"/>
      <c r="C758" s="76"/>
      <c r="D758" s="76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customFormat="false" ht="15" hidden="false" customHeight="false" outlineLevel="0" collapsed="false">
      <c r="A759" s="75"/>
      <c r="B759" s="76"/>
      <c r="C759" s="76"/>
      <c r="D759" s="76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customFormat="false" ht="15" hidden="false" customHeight="false" outlineLevel="0" collapsed="false">
      <c r="A760" s="75"/>
      <c r="B760" s="76"/>
      <c r="C760" s="76"/>
      <c r="D760" s="76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customFormat="false" ht="15" hidden="false" customHeight="false" outlineLevel="0" collapsed="false">
      <c r="A761" s="75"/>
      <c r="B761" s="76"/>
      <c r="C761" s="76"/>
      <c r="D761" s="76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customFormat="false" ht="15" hidden="false" customHeight="false" outlineLevel="0" collapsed="false">
      <c r="A762" s="75"/>
      <c r="B762" s="76"/>
      <c r="C762" s="76"/>
      <c r="D762" s="76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customFormat="false" ht="15" hidden="false" customHeight="false" outlineLevel="0" collapsed="false">
      <c r="A763" s="75"/>
      <c r="B763" s="76"/>
      <c r="C763" s="76"/>
      <c r="D763" s="76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customFormat="false" ht="15" hidden="false" customHeight="false" outlineLevel="0" collapsed="false">
      <c r="A764" s="75"/>
      <c r="B764" s="76"/>
      <c r="C764" s="76"/>
      <c r="D764" s="76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customFormat="false" ht="15" hidden="false" customHeight="false" outlineLevel="0" collapsed="false">
      <c r="A765" s="75"/>
      <c r="B765" s="76"/>
      <c r="C765" s="76"/>
      <c r="D765" s="76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customFormat="false" ht="15" hidden="false" customHeight="false" outlineLevel="0" collapsed="false">
      <c r="A766" s="75"/>
      <c r="B766" s="76"/>
      <c r="C766" s="76"/>
      <c r="D766" s="76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customFormat="false" ht="15" hidden="false" customHeight="false" outlineLevel="0" collapsed="false">
      <c r="A767" s="75"/>
      <c r="B767" s="76"/>
      <c r="C767" s="76"/>
      <c r="D767" s="76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customFormat="false" ht="15" hidden="false" customHeight="false" outlineLevel="0" collapsed="false">
      <c r="A768" s="75"/>
      <c r="B768" s="76"/>
      <c r="C768" s="76"/>
      <c r="D768" s="76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customFormat="false" ht="15" hidden="false" customHeight="false" outlineLevel="0" collapsed="false">
      <c r="A769" s="75"/>
      <c r="B769" s="76"/>
      <c r="C769" s="76"/>
      <c r="D769" s="76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customFormat="false" ht="15" hidden="false" customHeight="false" outlineLevel="0" collapsed="false">
      <c r="A770" s="75"/>
      <c r="B770" s="76"/>
      <c r="C770" s="76"/>
      <c r="D770" s="76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customFormat="false" ht="15" hidden="false" customHeight="false" outlineLevel="0" collapsed="false">
      <c r="A771" s="75"/>
      <c r="B771" s="76"/>
      <c r="C771" s="76"/>
      <c r="D771" s="76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customFormat="false" ht="15" hidden="false" customHeight="false" outlineLevel="0" collapsed="false">
      <c r="A772" s="75"/>
      <c r="B772" s="76"/>
      <c r="C772" s="76"/>
      <c r="D772" s="76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customFormat="false" ht="15" hidden="false" customHeight="false" outlineLevel="0" collapsed="false">
      <c r="A773" s="75"/>
      <c r="B773" s="76"/>
      <c r="C773" s="76"/>
      <c r="D773" s="76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customFormat="false" ht="15" hidden="false" customHeight="false" outlineLevel="0" collapsed="false">
      <c r="A774" s="75"/>
      <c r="B774" s="76"/>
      <c r="C774" s="76"/>
      <c r="D774" s="76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customFormat="false" ht="15" hidden="false" customHeight="false" outlineLevel="0" collapsed="false">
      <c r="A775" s="75"/>
      <c r="B775" s="76"/>
      <c r="C775" s="76"/>
      <c r="D775" s="76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customFormat="false" ht="15" hidden="false" customHeight="false" outlineLevel="0" collapsed="false">
      <c r="A776" s="75"/>
      <c r="B776" s="76"/>
      <c r="C776" s="76"/>
      <c r="D776" s="76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customFormat="false" ht="15" hidden="false" customHeight="false" outlineLevel="0" collapsed="false">
      <c r="A777" s="75"/>
      <c r="B777" s="76"/>
      <c r="C777" s="76"/>
      <c r="D777" s="76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customFormat="false" ht="15" hidden="false" customHeight="false" outlineLevel="0" collapsed="false">
      <c r="A778" s="75"/>
      <c r="B778" s="76"/>
      <c r="C778" s="76"/>
      <c r="D778" s="76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customFormat="false" ht="15" hidden="false" customHeight="false" outlineLevel="0" collapsed="false">
      <c r="A779" s="75"/>
      <c r="B779" s="76"/>
      <c r="C779" s="76"/>
      <c r="D779" s="76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customFormat="false" ht="15" hidden="false" customHeight="false" outlineLevel="0" collapsed="false">
      <c r="A780" s="75"/>
      <c r="B780" s="76"/>
      <c r="C780" s="76"/>
      <c r="D780" s="76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customFormat="false" ht="15" hidden="false" customHeight="false" outlineLevel="0" collapsed="false">
      <c r="A781" s="75"/>
      <c r="B781" s="76"/>
      <c r="C781" s="76"/>
      <c r="D781" s="76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customFormat="false" ht="15" hidden="false" customHeight="false" outlineLevel="0" collapsed="false">
      <c r="A782" s="75"/>
      <c r="B782" s="76"/>
      <c r="C782" s="76"/>
      <c r="D782" s="76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customFormat="false" ht="15" hidden="false" customHeight="false" outlineLevel="0" collapsed="false">
      <c r="A783" s="75"/>
      <c r="B783" s="76"/>
      <c r="C783" s="76"/>
      <c r="D783" s="76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customFormat="false" ht="15" hidden="false" customHeight="false" outlineLevel="0" collapsed="false">
      <c r="A784" s="75"/>
      <c r="B784" s="76"/>
      <c r="C784" s="76"/>
      <c r="D784" s="76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customFormat="false" ht="15" hidden="false" customHeight="false" outlineLevel="0" collapsed="false">
      <c r="A785" s="75"/>
      <c r="B785" s="76"/>
      <c r="C785" s="76"/>
      <c r="D785" s="76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customFormat="false" ht="15" hidden="false" customHeight="false" outlineLevel="0" collapsed="false">
      <c r="A786" s="75"/>
      <c r="B786" s="76"/>
      <c r="C786" s="76"/>
      <c r="D786" s="76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customFormat="false" ht="15" hidden="false" customHeight="false" outlineLevel="0" collapsed="false">
      <c r="A787" s="75"/>
      <c r="B787" s="76"/>
      <c r="C787" s="76"/>
      <c r="D787" s="76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customFormat="false" ht="15" hidden="false" customHeight="false" outlineLevel="0" collapsed="false">
      <c r="A788" s="75"/>
      <c r="B788" s="76"/>
      <c r="C788" s="76"/>
      <c r="D788" s="76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customFormat="false" ht="15" hidden="false" customHeight="false" outlineLevel="0" collapsed="false">
      <c r="A789" s="75"/>
      <c r="B789" s="76"/>
      <c r="C789" s="76"/>
      <c r="D789" s="76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customFormat="false" ht="15" hidden="false" customHeight="false" outlineLevel="0" collapsed="false">
      <c r="A790" s="75"/>
      <c r="B790" s="76"/>
      <c r="C790" s="76"/>
      <c r="D790" s="76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customFormat="false" ht="15" hidden="false" customHeight="false" outlineLevel="0" collapsed="false">
      <c r="A791" s="75"/>
      <c r="B791" s="76"/>
      <c r="C791" s="76"/>
      <c r="D791" s="76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customFormat="false" ht="15" hidden="false" customHeight="false" outlineLevel="0" collapsed="false">
      <c r="A792" s="75"/>
      <c r="B792" s="76"/>
      <c r="C792" s="76"/>
      <c r="D792" s="76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customFormat="false" ht="15" hidden="false" customHeight="false" outlineLevel="0" collapsed="false">
      <c r="A793" s="75"/>
      <c r="B793" s="76"/>
      <c r="C793" s="76"/>
      <c r="D793" s="76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customFormat="false" ht="15" hidden="false" customHeight="false" outlineLevel="0" collapsed="false">
      <c r="A794" s="75"/>
      <c r="B794" s="76"/>
      <c r="C794" s="76"/>
      <c r="D794" s="76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customFormat="false" ht="15" hidden="false" customHeight="false" outlineLevel="0" collapsed="false">
      <c r="A795" s="75"/>
      <c r="B795" s="76"/>
      <c r="C795" s="76"/>
      <c r="D795" s="76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customFormat="false" ht="15" hidden="false" customHeight="false" outlineLevel="0" collapsed="false">
      <c r="A796" s="75"/>
      <c r="B796" s="76"/>
      <c r="C796" s="76"/>
      <c r="D796" s="76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customFormat="false" ht="15" hidden="false" customHeight="false" outlineLevel="0" collapsed="false">
      <c r="A797" s="75"/>
      <c r="B797" s="76"/>
      <c r="C797" s="76"/>
      <c r="D797" s="76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customFormat="false" ht="15" hidden="false" customHeight="false" outlineLevel="0" collapsed="false">
      <c r="A798" s="75"/>
      <c r="B798" s="76"/>
      <c r="C798" s="76"/>
      <c r="D798" s="76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customFormat="false" ht="15" hidden="false" customHeight="false" outlineLevel="0" collapsed="false">
      <c r="A799" s="75"/>
      <c r="B799" s="76"/>
      <c r="C799" s="76"/>
      <c r="D799" s="76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customFormat="false" ht="15" hidden="false" customHeight="false" outlineLevel="0" collapsed="false">
      <c r="A800" s="75"/>
      <c r="B800" s="76"/>
      <c r="C800" s="76"/>
      <c r="D800" s="76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customFormat="false" ht="15" hidden="false" customHeight="false" outlineLevel="0" collapsed="false">
      <c r="A801" s="75"/>
      <c r="B801" s="76"/>
      <c r="C801" s="76"/>
      <c r="D801" s="76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customFormat="false" ht="15" hidden="false" customHeight="false" outlineLevel="0" collapsed="false">
      <c r="A802" s="75"/>
      <c r="B802" s="76"/>
      <c r="C802" s="76"/>
      <c r="D802" s="76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customFormat="false" ht="15" hidden="false" customHeight="false" outlineLevel="0" collapsed="false">
      <c r="A803" s="75"/>
      <c r="B803" s="76"/>
      <c r="C803" s="76"/>
      <c r="D803" s="76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customFormat="false" ht="15" hidden="false" customHeight="false" outlineLevel="0" collapsed="false">
      <c r="A804" s="75"/>
      <c r="B804" s="76"/>
      <c r="C804" s="76"/>
      <c r="D804" s="76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customFormat="false" ht="15" hidden="false" customHeight="false" outlineLevel="0" collapsed="false">
      <c r="A805" s="75"/>
      <c r="B805" s="76"/>
      <c r="C805" s="76"/>
      <c r="D805" s="76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customFormat="false" ht="15" hidden="false" customHeight="false" outlineLevel="0" collapsed="false">
      <c r="A806" s="75"/>
      <c r="B806" s="76"/>
      <c r="C806" s="76"/>
      <c r="D806" s="76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customFormat="false" ht="15" hidden="false" customHeight="false" outlineLevel="0" collapsed="false">
      <c r="A807" s="75"/>
      <c r="B807" s="76"/>
      <c r="C807" s="76"/>
      <c r="D807" s="76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customFormat="false" ht="15" hidden="false" customHeight="false" outlineLevel="0" collapsed="false">
      <c r="A808" s="75"/>
      <c r="B808" s="76"/>
      <c r="C808" s="76"/>
      <c r="D808" s="76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customFormat="false" ht="15" hidden="false" customHeight="false" outlineLevel="0" collapsed="false">
      <c r="A809" s="75"/>
      <c r="B809" s="76"/>
      <c r="C809" s="76"/>
      <c r="D809" s="76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customFormat="false" ht="15" hidden="false" customHeight="false" outlineLevel="0" collapsed="false">
      <c r="A810" s="75"/>
      <c r="B810" s="76"/>
      <c r="C810" s="76"/>
      <c r="D810" s="76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customFormat="false" ht="15" hidden="false" customHeight="false" outlineLevel="0" collapsed="false">
      <c r="A811" s="75"/>
      <c r="B811" s="76"/>
      <c r="C811" s="76"/>
      <c r="D811" s="76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customFormat="false" ht="15" hidden="false" customHeight="false" outlineLevel="0" collapsed="false">
      <c r="A812" s="75"/>
      <c r="B812" s="76"/>
      <c r="C812" s="76"/>
      <c r="D812" s="76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customFormat="false" ht="15" hidden="false" customHeight="false" outlineLevel="0" collapsed="false">
      <c r="A813" s="75"/>
      <c r="B813" s="76"/>
      <c r="C813" s="76"/>
      <c r="D813" s="76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customFormat="false" ht="15" hidden="false" customHeight="false" outlineLevel="0" collapsed="false">
      <c r="A814" s="75"/>
      <c r="B814" s="76"/>
      <c r="C814" s="76"/>
      <c r="D814" s="76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customFormat="false" ht="15" hidden="false" customHeight="false" outlineLevel="0" collapsed="false">
      <c r="A815" s="75"/>
      <c r="B815" s="76"/>
      <c r="C815" s="76"/>
      <c r="D815" s="76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customFormat="false" ht="15" hidden="false" customHeight="false" outlineLevel="0" collapsed="false">
      <c r="A816" s="75"/>
      <c r="B816" s="76"/>
      <c r="C816" s="76"/>
      <c r="D816" s="76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customFormat="false" ht="15" hidden="false" customHeight="false" outlineLevel="0" collapsed="false">
      <c r="A817" s="75"/>
      <c r="B817" s="76"/>
      <c r="C817" s="76"/>
      <c r="D817" s="76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customFormat="false" ht="15" hidden="false" customHeight="false" outlineLevel="0" collapsed="false">
      <c r="A818" s="75"/>
      <c r="B818" s="76"/>
      <c r="C818" s="76"/>
      <c r="D818" s="76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customFormat="false" ht="15" hidden="false" customHeight="false" outlineLevel="0" collapsed="false">
      <c r="A819" s="75"/>
      <c r="B819" s="76"/>
      <c r="C819" s="76"/>
      <c r="D819" s="76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customFormat="false" ht="15" hidden="false" customHeight="false" outlineLevel="0" collapsed="false">
      <c r="A820" s="75"/>
      <c r="B820" s="76"/>
      <c r="C820" s="76"/>
      <c r="D820" s="76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customFormat="false" ht="15" hidden="false" customHeight="false" outlineLevel="0" collapsed="false">
      <c r="A821" s="75"/>
      <c r="B821" s="76"/>
      <c r="C821" s="76"/>
      <c r="D821" s="76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customFormat="false" ht="15" hidden="false" customHeight="false" outlineLevel="0" collapsed="false">
      <c r="A822" s="75"/>
      <c r="B822" s="76"/>
      <c r="C822" s="76"/>
      <c r="D822" s="76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customFormat="false" ht="15" hidden="false" customHeight="false" outlineLevel="0" collapsed="false">
      <c r="A823" s="75"/>
      <c r="B823" s="76"/>
      <c r="C823" s="76"/>
      <c r="D823" s="76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customFormat="false" ht="15" hidden="false" customHeight="false" outlineLevel="0" collapsed="false">
      <c r="A824" s="75"/>
      <c r="B824" s="76"/>
      <c r="C824" s="76"/>
      <c r="D824" s="76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customFormat="false" ht="15" hidden="false" customHeight="false" outlineLevel="0" collapsed="false">
      <c r="A825" s="75"/>
      <c r="B825" s="76"/>
      <c r="C825" s="76"/>
      <c r="D825" s="76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customFormat="false" ht="15" hidden="false" customHeight="false" outlineLevel="0" collapsed="false">
      <c r="A826" s="75"/>
      <c r="B826" s="76"/>
      <c r="C826" s="76"/>
      <c r="D826" s="76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customFormat="false" ht="15" hidden="false" customHeight="false" outlineLevel="0" collapsed="false">
      <c r="A827" s="75"/>
      <c r="B827" s="76"/>
      <c r="C827" s="76"/>
      <c r="D827" s="76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customFormat="false" ht="15" hidden="false" customHeight="false" outlineLevel="0" collapsed="false">
      <c r="A828" s="75"/>
      <c r="B828" s="76"/>
      <c r="C828" s="76"/>
      <c r="D828" s="76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customFormat="false" ht="15" hidden="false" customHeight="false" outlineLevel="0" collapsed="false">
      <c r="A829" s="75"/>
      <c r="B829" s="76"/>
      <c r="C829" s="76"/>
      <c r="D829" s="76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customFormat="false" ht="15" hidden="false" customHeight="false" outlineLevel="0" collapsed="false">
      <c r="A830" s="75"/>
      <c r="B830" s="76"/>
      <c r="C830" s="76"/>
      <c r="D830" s="76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customFormat="false" ht="15" hidden="false" customHeight="false" outlineLevel="0" collapsed="false">
      <c r="A831" s="75"/>
      <c r="B831" s="76"/>
      <c r="C831" s="76"/>
      <c r="D831" s="76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customFormat="false" ht="15" hidden="false" customHeight="false" outlineLevel="0" collapsed="false">
      <c r="A832" s="75"/>
      <c r="B832" s="76"/>
      <c r="C832" s="76"/>
      <c r="D832" s="76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customFormat="false" ht="15" hidden="false" customHeight="false" outlineLevel="0" collapsed="false">
      <c r="A833" s="75"/>
      <c r="B833" s="76"/>
      <c r="C833" s="76"/>
      <c r="D833" s="76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customFormat="false" ht="15" hidden="false" customHeight="false" outlineLevel="0" collapsed="false">
      <c r="A834" s="75"/>
      <c r="B834" s="76"/>
      <c r="C834" s="76"/>
      <c r="D834" s="76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customFormat="false" ht="15" hidden="false" customHeight="false" outlineLevel="0" collapsed="false">
      <c r="A835" s="75"/>
      <c r="B835" s="76"/>
      <c r="C835" s="76"/>
      <c r="D835" s="76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customFormat="false" ht="15" hidden="false" customHeight="false" outlineLevel="0" collapsed="false">
      <c r="A836" s="75"/>
      <c r="B836" s="76"/>
      <c r="C836" s="76"/>
      <c r="D836" s="76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customFormat="false" ht="15" hidden="false" customHeight="false" outlineLevel="0" collapsed="false">
      <c r="A837" s="75"/>
      <c r="B837" s="76"/>
      <c r="C837" s="76"/>
      <c r="D837" s="76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customFormat="false" ht="15" hidden="false" customHeight="false" outlineLevel="0" collapsed="false">
      <c r="A838" s="75"/>
      <c r="B838" s="76"/>
      <c r="C838" s="76"/>
      <c r="D838" s="76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customFormat="false" ht="15" hidden="false" customHeight="false" outlineLevel="0" collapsed="false">
      <c r="A839" s="75"/>
      <c r="B839" s="76"/>
      <c r="C839" s="76"/>
      <c r="D839" s="76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customFormat="false" ht="15" hidden="false" customHeight="false" outlineLevel="0" collapsed="false">
      <c r="A840" s="75"/>
      <c r="B840" s="76"/>
      <c r="C840" s="76"/>
      <c r="D840" s="76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customFormat="false" ht="15" hidden="false" customHeight="false" outlineLevel="0" collapsed="false">
      <c r="A841" s="75"/>
      <c r="B841" s="76"/>
      <c r="C841" s="76"/>
      <c r="D841" s="76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customFormat="false" ht="15" hidden="false" customHeight="false" outlineLevel="0" collapsed="false">
      <c r="A842" s="75"/>
      <c r="B842" s="76"/>
      <c r="C842" s="76"/>
      <c r="D842" s="76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customFormat="false" ht="15" hidden="false" customHeight="false" outlineLevel="0" collapsed="false">
      <c r="A843" s="75"/>
      <c r="B843" s="76"/>
      <c r="C843" s="76"/>
      <c r="D843" s="76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customFormat="false" ht="15" hidden="false" customHeight="false" outlineLevel="0" collapsed="false">
      <c r="A844" s="75"/>
      <c r="B844" s="76"/>
      <c r="C844" s="76"/>
      <c r="D844" s="76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customFormat="false" ht="15" hidden="false" customHeight="false" outlineLevel="0" collapsed="false">
      <c r="A845" s="75"/>
      <c r="B845" s="76"/>
      <c r="C845" s="76"/>
      <c r="D845" s="76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customFormat="false" ht="15" hidden="false" customHeight="false" outlineLevel="0" collapsed="false">
      <c r="A846" s="75"/>
      <c r="B846" s="76"/>
      <c r="C846" s="76"/>
      <c r="D846" s="76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customFormat="false" ht="15" hidden="false" customHeight="false" outlineLevel="0" collapsed="false">
      <c r="A847" s="75"/>
      <c r="B847" s="76"/>
      <c r="C847" s="76"/>
      <c r="D847" s="76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customFormat="false" ht="15" hidden="false" customHeight="false" outlineLevel="0" collapsed="false">
      <c r="A848" s="75"/>
      <c r="B848" s="76"/>
      <c r="C848" s="76"/>
      <c r="D848" s="76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customFormat="false" ht="15" hidden="false" customHeight="false" outlineLevel="0" collapsed="false">
      <c r="A849" s="75"/>
      <c r="B849" s="76"/>
      <c r="C849" s="76"/>
      <c r="D849" s="76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customFormat="false" ht="15" hidden="false" customHeight="false" outlineLevel="0" collapsed="false">
      <c r="A850" s="75"/>
      <c r="B850" s="76"/>
      <c r="C850" s="76"/>
      <c r="D850" s="76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customFormat="false" ht="15" hidden="false" customHeight="false" outlineLevel="0" collapsed="false">
      <c r="A851" s="75"/>
      <c r="B851" s="76"/>
      <c r="C851" s="76"/>
      <c r="D851" s="76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customFormat="false" ht="15" hidden="false" customHeight="false" outlineLevel="0" collapsed="false">
      <c r="A852" s="75"/>
      <c r="B852" s="76"/>
      <c r="C852" s="76"/>
      <c r="D852" s="76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customFormat="false" ht="15" hidden="false" customHeight="false" outlineLevel="0" collapsed="false">
      <c r="A853" s="75"/>
      <c r="B853" s="76"/>
      <c r="C853" s="76"/>
      <c r="D853" s="76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customFormat="false" ht="15" hidden="false" customHeight="false" outlineLevel="0" collapsed="false">
      <c r="A854" s="75"/>
      <c r="B854" s="76"/>
      <c r="C854" s="76"/>
      <c r="D854" s="76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customFormat="false" ht="15" hidden="false" customHeight="false" outlineLevel="0" collapsed="false">
      <c r="A855" s="75"/>
      <c r="B855" s="76"/>
      <c r="C855" s="76"/>
      <c r="D855" s="76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customFormat="false" ht="15" hidden="false" customHeight="false" outlineLevel="0" collapsed="false">
      <c r="A856" s="75"/>
      <c r="B856" s="76"/>
      <c r="C856" s="76"/>
      <c r="D856" s="76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customFormat="false" ht="15" hidden="false" customHeight="false" outlineLevel="0" collapsed="false">
      <c r="A857" s="75"/>
      <c r="B857" s="76"/>
      <c r="C857" s="76"/>
      <c r="D857" s="76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customFormat="false" ht="15" hidden="false" customHeight="false" outlineLevel="0" collapsed="false">
      <c r="A858" s="75"/>
      <c r="B858" s="76"/>
      <c r="C858" s="76"/>
      <c r="D858" s="76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customFormat="false" ht="15" hidden="false" customHeight="false" outlineLevel="0" collapsed="false">
      <c r="A859" s="75"/>
      <c r="B859" s="76"/>
      <c r="C859" s="76"/>
      <c r="D859" s="76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customFormat="false" ht="15" hidden="false" customHeight="false" outlineLevel="0" collapsed="false">
      <c r="A860" s="75"/>
      <c r="B860" s="76"/>
      <c r="C860" s="76"/>
      <c r="D860" s="76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customFormat="false" ht="15" hidden="false" customHeight="false" outlineLevel="0" collapsed="false">
      <c r="A861" s="75"/>
      <c r="B861" s="76"/>
      <c r="C861" s="76"/>
      <c r="D861" s="76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customFormat="false" ht="15" hidden="false" customHeight="false" outlineLevel="0" collapsed="false">
      <c r="A862" s="75"/>
      <c r="B862" s="76"/>
      <c r="C862" s="76"/>
      <c r="D862" s="76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customFormat="false" ht="15" hidden="false" customHeight="false" outlineLevel="0" collapsed="false">
      <c r="A863" s="75"/>
      <c r="B863" s="76"/>
      <c r="C863" s="76"/>
      <c r="D863" s="76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customFormat="false" ht="15" hidden="false" customHeight="false" outlineLevel="0" collapsed="false">
      <c r="A864" s="75"/>
      <c r="B864" s="76"/>
      <c r="C864" s="76"/>
      <c r="D864" s="76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customFormat="false" ht="15" hidden="false" customHeight="false" outlineLevel="0" collapsed="false">
      <c r="A865" s="75"/>
      <c r="B865" s="76"/>
      <c r="C865" s="76"/>
      <c r="D865" s="76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customFormat="false" ht="15" hidden="false" customHeight="false" outlineLevel="0" collapsed="false">
      <c r="A866" s="75"/>
      <c r="B866" s="76"/>
      <c r="C866" s="76"/>
      <c r="D866" s="76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customFormat="false" ht="15" hidden="false" customHeight="false" outlineLevel="0" collapsed="false">
      <c r="A867" s="75"/>
      <c r="B867" s="76"/>
      <c r="C867" s="76"/>
      <c r="D867" s="76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customFormat="false" ht="15" hidden="false" customHeight="false" outlineLevel="0" collapsed="false">
      <c r="A868" s="75"/>
      <c r="B868" s="76"/>
      <c r="C868" s="76"/>
      <c r="D868" s="76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customFormat="false" ht="15" hidden="false" customHeight="false" outlineLevel="0" collapsed="false">
      <c r="A869" s="75"/>
      <c r="B869" s="76"/>
      <c r="C869" s="76"/>
      <c r="D869" s="76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customFormat="false" ht="15" hidden="false" customHeight="false" outlineLevel="0" collapsed="false">
      <c r="A870" s="75"/>
      <c r="B870" s="76"/>
      <c r="C870" s="76"/>
      <c r="D870" s="76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customFormat="false" ht="15" hidden="false" customHeight="false" outlineLevel="0" collapsed="false">
      <c r="A871" s="75"/>
      <c r="B871" s="76"/>
      <c r="C871" s="76"/>
      <c r="D871" s="76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customFormat="false" ht="15" hidden="false" customHeight="false" outlineLevel="0" collapsed="false">
      <c r="A872" s="75"/>
      <c r="B872" s="76"/>
      <c r="C872" s="76"/>
      <c r="D872" s="76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customFormat="false" ht="15" hidden="false" customHeight="false" outlineLevel="0" collapsed="false">
      <c r="A873" s="75"/>
      <c r="B873" s="76"/>
      <c r="C873" s="76"/>
      <c r="D873" s="76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customFormat="false" ht="15" hidden="false" customHeight="false" outlineLevel="0" collapsed="false">
      <c r="A874" s="75"/>
      <c r="B874" s="76"/>
      <c r="C874" s="76"/>
      <c r="D874" s="76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customFormat="false" ht="15" hidden="false" customHeight="false" outlineLevel="0" collapsed="false">
      <c r="A875" s="75"/>
      <c r="B875" s="76"/>
      <c r="C875" s="76"/>
      <c r="D875" s="76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customFormat="false" ht="15" hidden="false" customHeight="false" outlineLevel="0" collapsed="false">
      <c r="A876" s="75"/>
      <c r="B876" s="76"/>
      <c r="C876" s="76"/>
      <c r="D876" s="76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customFormat="false" ht="15" hidden="false" customHeight="false" outlineLevel="0" collapsed="false">
      <c r="A877" s="75"/>
      <c r="B877" s="76"/>
      <c r="C877" s="76"/>
      <c r="D877" s="76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customFormat="false" ht="15" hidden="false" customHeight="false" outlineLevel="0" collapsed="false">
      <c r="A878" s="75"/>
      <c r="B878" s="76"/>
      <c r="C878" s="76"/>
      <c r="D878" s="76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customFormat="false" ht="15" hidden="false" customHeight="false" outlineLevel="0" collapsed="false">
      <c r="A879" s="75"/>
      <c r="B879" s="76"/>
      <c r="C879" s="76"/>
      <c r="D879" s="76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customFormat="false" ht="15" hidden="false" customHeight="false" outlineLevel="0" collapsed="false">
      <c r="A880" s="75"/>
      <c r="B880" s="76"/>
      <c r="C880" s="76"/>
      <c r="D880" s="76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customFormat="false" ht="15" hidden="false" customHeight="false" outlineLevel="0" collapsed="false">
      <c r="A881" s="75"/>
      <c r="B881" s="76"/>
      <c r="C881" s="76"/>
      <c r="D881" s="76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customFormat="false" ht="15" hidden="false" customHeight="false" outlineLevel="0" collapsed="false">
      <c r="A882" s="75"/>
      <c r="B882" s="76"/>
      <c r="C882" s="76"/>
      <c r="D882" s="76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customFormat="false" ht="15" hidden="false" customHeight="false" outlineLevel="0" collapsed="false">
      <c r="A883" s="75"/>
      <c r="B883" s="76"/>
      <c r="C883" s="76"/>
      <c r="D883" s="76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customFormat="false" ht="15" hidden="false" customHeight="false" outlineLevel="0" collapsed="false">
      <c r="A884" s="75"/>
      <c r="B884" s="76"/>
      <c r="C884" s="76"/>
      <c r="D884" s="76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customFormat="false" ht="15" hidden="false" customHeight="false" outlineLevel="0" collapsed="false">
      <c r="A885" s="75"/>
      <c r="B885" s="76"/>
      <c r="C885" s="76"/>
      <c r="D885" s="76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customFormat="false" ht="15" hidden="false" customHeight="false" outlineLevel="0" collapsed="false">
      <c r="A886" s="75"/>
      <c r="B886" s="76"/>
      <c r="C886" s="76"/>
      <c r="D886" s="76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customFormat="false" ht="15" hidden="false" customHeight="false" outlineLevel="0" collapsed="false">
      <c r="A887" s="75"/>
      <c r="B887" s="76"/>
      <c r="C887" s="76"/>
      <c r="D887" s="76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customFormat="false" ht="15" hidden="false" customHeight="false" outlineLevel="0" collapsed="false">
      <c r="A888" s="75"/>
      <c r="B888" s="76"/>
      <c r="C888" s="76"/>
      <c r="D888" s="76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customFormat="false" ht="15" hidden="false" customHeight="false" outlineLevel="0" collapsed="false">
      <c r="A889" s="75"/>
      <c r="B889" s="76"/>
      <c r="C889" s="76"/>
      <c r="D889" s="76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customFormat="false" ht="15" hidden="false" customHeight="false" outlineLevel="0" collapsed="false">
      <c r="A890" s="75"/>
      <c r="B890" s="76"/>
      <c r="C890" s="76"/>
      <c r="D890" s="76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customFormat="false" ht="15" hidden="false" customHeight="false" outlineLevel="0" collapsed="false">
      <c r="A891" s="75"/>
      <c r="B891" s="76"/>
      <c r="C891" s="76"/>
      <c r="D891" s="76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customFormat="false" ht="15" hidden="false" customHeight="false" outlineLevel="0" collapsed="false">
      <c r="A892" s="75"/>
      <c r="B892" s="76"/>
      <c r="C892" s="76"/>
      <c r="D892" s="76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customFormat="false" ht="15" hidden="false" customHeight="false" outlineLevel="0" collapsed="false">
      <c r="A893" s="75"/>
      <c r="B893" s="76"/>
      <c r="C893" s="76"/>
      <c r="D893" s="76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customFormat="false" ht="15" hidden="false" customHeight="false" outlineLevel="0" collapsed="false">
      <c r="A894" s="75"/>
      <c r="B894" s="76"/>
      <c r="C894" s="76"/>
      <c r="D894" s="76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customFormat="false" ht="15" hidden="false" customHeight="false" outlineLevel="0" collapsed="false">
      <c r="A895" s="75"/>
      <c r="B895" s="76"/>
      <c r="C895" s="76"/>
      <c r="D895" s="76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customFormat="false" ht="15" hidden="false" customHeight="false" outlineLevel="0" collapsed="false">
      <c r="A896" s="75"/>
      <c r="B896" s="76"/>
      <c r="C896" s="76"/>
      <c r="D896" s="76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customFormat="false" ht="15" hidden="false" customHeight="false" outlineLevel="0" collapsed="false">
      <c r="A897" s="75"/>
      <c r="B897" s="76"/>
      <c r="C897" s="76"/>
      <c r="D897" s="76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customFormat="false" ht="15" hidden="false" customHeight="false" outlineLevel="0" collapsed="false">
      <c r="A898" s="75"/>
      <c r="B898" s="76"/>
      <c r="C898" s="76"/>
      <c r="D898" s="76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customFormat="false" ht="15" hidden="false" customHeight="false" outlineLevel="0" collapsed="false">
      <c r="A899" s="75"/>
      <c r="B899" s="76"/>
      <c r="C899" s="76"/>
      <c r="D899" s="76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customFormat="false" ht="15" hidden="false" customHeight="false" outlineLevel="0" collapsed="false">
      <c r="A900" s="75"/>
      <c r="B900" s="76"/>
      <c r="C900" s="76"/>
      <c r="D900" s="76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customFormat="false" ht="15" hidden="false" customHeight="false" outlineLevel="0" collapsed="false">
      <c r="A901" s="75"/>
      <c r="B901" s="76"/>
      <c r="C901" s="76"/>
      <c r="D901" s="76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customFormat="false" ht="15" hidden="false" customHeight="false" outlineLevel="0" collapsed="false">
      <c r="A902" s="75"/>
      <c r="B902" s="76"/>
      <c r="C902" s="76"/>
      <c r="D902" s="76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customFormat="false" ht="15" hidden="false" customHeight="false" outlineLevel="0" collapsed="false">
      <c r="A903" s="75"/>
      <c r="B903" s="76"/>
      <c r="C903" s="76"/>
      <c r="D903" s="76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customFormat="false" ht="15" hidden="false" customHeight="false" outlineLevel="0" collapsed="false">
      <c r="A904" s="75"/>
      <c r="B904" s="76"/>
      <c r="C904" s="76"/>
      <c r="D904" s="76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customFormat="false" ht="15" hidden="false" customHeight="false" outlineLevel="0" collapsed="false">
      <c r="A905" s="75"/>
      <c r="B905" s="76"/>
      <c r="C905" s="76"/>
      <c r="D905" s="76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customFormat="false" ht="15" hidden="false" customHeight="false" outlineLevel="0" collapsed="false">
      <c r="A906" s="75"/>
      <c r="B906" s="76"/>
      <c r="C906" s="76"/>
      <c r="D906" s="76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customFormat="false" ht="15" hidden="false" customHeight="false" outlineLevel="0" collapsed="false">
      <c r="A907" s="75"/>
      <c r="B907" s="76"/>
      <c r="C907" s="76"/>
      <c r="D907" s="76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customFormat="false" ht="15" hidden="false" customHeight="false" outlineLevel="0" collapsed="false">
      <c r="A908" s="75"/>
      <c r="B908" s="76"/>
      <c r="C908" s="76"/>
      <c r="D908" s="76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customFormat="false" ht="15" hidden="false" customHeight="false" outlineLevel="0" collapsed="false">
      <c r="A909" s="75"/>
      <c r="B909" s="76"/>
      <c r="C909" s="76"/>
      <c r="D909" s="76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customFormat="false" ht="15" hidden="false" customHeight="false" outlineLevel="0" collapsed="false">
      <c r="A910" s="75"/>
      <c r="B910" s="76"/>
      <c r="C910" s="76"/>
      <c r="D910" s="76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customFormat="false" ht="15" hidden="false" customHeight="false" outlineLevel="0" collapsed="false">
      <c r="A911" s="75"/>
      <c r="B911" s="76"/>
      <c r="C911" s="76"/>
      <c r="D911" s="76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customFormat="false" ht="15" hidden="false" customHeight="false" outlineLevel="0" collapsed="false">
      <c r="A912" s="75"/>
      <c r="B912" s="76"/>
      <c r="C912" s="76"/>
      <c r="D912" s="76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customFormat="false" ht="15" hidden="false" customHeight="false" outlineLevel="0" collapsed="false">
      <c r="A913" s="75"/>
      <c r="B913" s="76"/>
      <c r="C913" s="76"/>
      <c r="D913" s="76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customFormat="false" ht="15" hidden="false" customHeight="false" outlineLevel="0" collapsed="false">
      <c r="A914" s="75"/>
      <c r="B914" s="76"/>
      <c r="C914" s="76"/>
      <c r="D914" s="76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customFormat="false" ht="15" hidden="false" customHeight="false" outlineLevel="0" collapsed="false">
      <c r="A915" s="75"/>
      <c r="B915" s="76"/>
      <c r="C915" s="76"/>
      <c r="D915" s="76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customFormat="false" ht="15" hidden="false" customHeight="false" outlineLevel="0" collapsed="false">
      <c r="A916" s="75"/>
      <c r="B916" s="76"/>
      <c r="C916" s="76"/>
      <c r="D916" s="76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customFormat="false" ht="15" hidden="false" customHeight="false" outlineLevel="0" collapsed="false">
      <c r="A917" s="75"/>
      <c r="B917" s="76"/>
      <c r="C917" s="76"/>
      <c r="D917" s="76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customFormat="false" ht="15" hidden="false" customHeight="false" outlineLevel="0" collapsed="false">
      <c r="A918" s="75"/>
      <c r="B918" s="76"/>
      <c r="C918" s="76"/>
      <c r="D918" s="76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customFormat="false" ht="15" hidden="false" customHeight="false" outlineLevel="0" collapsed="false">
      <c r="A919" s="75"/>
      <c r="B919" s="76"/>
      <c r="C919" s="76"/>
      <c r="D919" s="76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customFormat="false" ht="15" hidden="false" customHeight="false" outlineLevel="0" collapsed="false">
      <c r="A920" s="75"/>
      <c r="B920" s="76"/>
      <c r="C920" s="76"/>
      <c r="D920" s="76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customFormat="false" ht="15" hidden="false" customHeight="false" outlineLevel="0" collapsed="false">
      <c r="A921" s="75"/>
      <c r="B921" s="76"/>
      <c r="C921" s="76"/>
      <c r="D921" s="76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customFormat="false" ht="15" hidden="false" customHeight="false" outlineLevel="0" collapsed="false">
      <c r="A922" s="75"/>
      <c r="B922" s="76"/>
      <c r="C922" s="76"/>
      <c r="D922" s="76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customFormat="false" ht="15" hidden="false" customHeight="false" outlineLevel="0" collapsed="false">
      <c r="A923" s="75"/>
      <c r="B923" s="76"/>
      <c r="C923" s="76"/>
      <c r="D923" s="76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customFormat="false" ht="15" hidden="false" customHeight="false" outlineLevel="0" collapsed="false">
      <c r="A924" s="75"/>
      <c r="B924" s="76"/>
      <c r="C924" s="76"/>
      <c r="D924" s="76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customFormat="false" ht="15" hidden="false" customHeight="false" outlineLevel="0" collapsed="false">
      <c r="A925" s="75"/>
      <c r="B925" s="76"/>
      <c r="C925" s="76"/>
      <c r="D925" s="76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customFormat="false" ht="15" hidden="false" customHeight="false" outlineLevel="0" collapsed="false">
      <c r="A926" s="75"/>
      <c r="B926" s="76"/>
      <c r="C926" s="76"/>
      <c r="D926" s="76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customFormat="false" ht="15" hidden="false" customHeight="false" outlineLevel="0" collapsed="false">
      <c r="A927" s="75"/>
      <c r="B927" s="76"/>
      <c r="C927" s="76"/>
      <c r="D927" s="76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customFormat="false" ht="15" hidden="false" customHeight="false" outlineLevel="0" collapsed="false">
      <c r="A928" s="75"/>
      <c r="B928" s="76"/>
      <c r="C928" s="76"/>
      <c r="D928" s="76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customFormat="false" ht="15" hidden="false" customHeight="false" outlineLevel="0" collapsed="false">
      <c r="A929" s="75"/>
      <c r="B929" s="76"/>
      <c r="C929" s="76"/>
      <c r="D929" s="76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customFormat="false" ht="15" hidden="false" customHeight="false" outlineLevel="0" collapsed="false">
      <c r="A930" s="75"/>
      <c r="B930" s="76"/>
      <c r="C930" s="76"/>
      <c r="D930" s="76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customFormat="false" ht="15" hidden="false" customHeight="false" outlineLevel="0" collapsed="false">
      <c r="A931" s="75"/>
      <c r="B931" s="76"/>
      <c r="C931" s="76"/>
      <c r="D931" s="76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customFormat="false" ht="15" hidden="false" customHeight="false" outlineLevel="0" collapsed="false">
      <c r="A932" s="75"/>
      <c r="B932" s="76"/>
      <c r="C932" s="76"/>
      <c r="D932" s="76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customFormat="false" ht="15" hidden="false" customHeight="false" outlineLevel="0" collapsed="false">
      <c r="A933" s="75"/>
      <c r="B933" s="76"/>
      <c r="C933" s="76"/>
      <c r="D933" s="76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customFormat="false" ht="15" hidden="false" customHeight="false" outlineLevel="0" collapsed="false">
      <c r="A934" s="75"/>
      <c r="B934" s="76"/>
      <c r="C934" s="76"/>
      <c r="D934" s="76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customFormat="false" ht="15" hidden="false" customHeight="false" outlineLevel="0" collapsed="false">
      <c r="A935" s="75"/>
      <c r="B935" s="76"/>
      <c r="C935" s="76"/>
      <c r="D935" s="76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customFormat="false" ht="15" hidden="false" customHeight="false" outlineLevel="0" collapsed="false">
      <c r="A936" s="75"/>
      <c r="B936" s="76"/>
      <c r="C936" s="76"/>
      <c r="D936" s="76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customFormat="false" ht="15" hidden="false" customHeight="false" outlineLevel="0" collapsed="false">
      <c r="A937" s="75"/>
      <c r="B937" s="76"/>
      <c r="C937" s="76"/>
      <c r="D937" s="76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customFormat="false" ht="15" hidden="false" customHeight="false" outlineLevel="0" collapsed="false">
      <c r="A938" s="75"/>
      <c r="B938" s="76"/>
      <c r="C938" s="76"/>
      <c r="D938" s="76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customFormat="false" ht="15" hidden="false" customHeight="false" outlineLevel="0" collapsed="false">
      <c r="A939" s="75"/>
      <c r="B939" s="76"/>
      <c r="C939" s="76"/>
      <c r="D939" s="76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customFormat="false" ht="15" hidden="false" customHeight="false" outlineLevel="0" collapsed="false">
      <c r="A940" s="75"/>
      <c r="B940" s="76"/>
      <c r="C940" s="76"/>
      <c r="D940" s="76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customFormat="false" ht="15" hidden="false" customHeight="false" outlineLevel="0" collapsed="false">
      <c r="A941" s="75"/>
      <c r="B941" s="76"/>
      <c r="C941" s="76"/>
      <c r="D941" s="76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customFormat="false" ht="15" hidden="false" customHeight="false" outlineLevel="0" collapsed="false">
      <c r="A942" s="75"/>
      <c r="B942" s="76"/>
      <c r="C942" s="76"/>
      <c r="D942" s="76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customFormat="false" ht="15" hidden="false" customHeight="false" outlineLevel="0" collapsed="false">
      <c r="A943" s="75"/>
      <c r="B943" s="76"/>
      <c r="C943" s="76"/>
      <c r="D943" s="76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customFormat="false" ht="15" hidden="false" customHeight="false" outlineLevel="0" collapsed="false">
      <c r="A944" s="75"/>
      <c r="B944" s="76"/>
      <c r="C944" s="76"/>
      <c r="D944" s="76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customFormat="false" ht="15" hidden="false" customHeight="false" outlineLevel="0" collapsed="false">
      <c r="A945" s="75"/>
      <c r="B945" s="76"/>
      <c r="C945" s="76"/>
      <c r="D945" s="76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customFormat="false" ht="15" hidden="false" customHeight="false" outlineLevel="0" collapsed="false">
      <c r="A946" s="75"/>
      <c r="B946" s="76"/>
      <c r="C946" s="76"/>
      <c r="D946" s="76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customFormat="false" ht="15" hidden="false" customHeight="false" outlineLevel="0" collapsed="false">
      <c r="A947" s="75"/>
      <c r="B947" s="76"/>
      <c r="C947" s="76"/>
      <c r="D947" s="76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customFormat="false" ht="15" hidden="false" customHeight="false" outlineLevel="0" collapsed="false">
      <c r="A948" s="75"/>
      <c r="B948" s="76"/>
      <c r="C948" s="76"/>
      <c r="D948" s="76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customFormat="false" ht="15" hidden="false" customHeight="false" outlineLevel="0" collapsed="false">
      <c r="A949" s="75"/>
      <c r="B949" s="76"/>
      <c r="C949" s="76"/>
      <c r="D949" s="76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customFormat="false" ht="15" hidden="false" customHeight="false" outlineLevel="0" collapsed="false">
      <c r="A950" s="75"/>
      <c r="B950" s="76"/>
      <c r="C950" s="76"/>
      <c r="D950" s="76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customFormat="false" ht="15" hidden="false" customHeight="false" outlineLevel="0" collapsed="false">
      <c r="A951" s="75"/>
      <c r="B951" s="76"/>
      <c r="C951" s="76"/>
      <c r="D951" s="76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customFormat="false" ht="15" hidden="false" customHeight="false" outlineLevel="0" collapsed="false">
      <c r="A952" s="75"/>
      <c r="B952" s="76"/>
      <c r="C952" s="76"/>
      <c r="D952" s="76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customFormat="false" ht="15" hidden="false" customHeight="false" outlineLevel="0" collapsed="false">
      <c r="A953" s="75"/>
      <c r="B953" s="76"/>
      <c r="C953" s="76"/>
      <c r="D953" s="76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customFormat="false" ht="15" hidden="false" customHeight="false" outlineLevel="0" collapsed="false">
      <c r="A954" s="75"/>
      <c r="B954" s="76"/>
      <c r="C954" s="76"/>
      <c r="D954" s="76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customFormat="false" ht="15" hidden="false" customHeight="false" outlineLevel="0" collapsed="false">
      <c r="A955" s="75"/>
      <c r="B955" s="76"/>
      <c r="C955" s="76"/>
      <c r="D955" s="76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customFormat="false" ht="15" hidden="false" customHeight="false" outlineLevel="0" collapsed="false">
      <c r="A956" s="75"/>
      <c r="B956" s="76"/>
      <c r="C956" s="76"/>
      <c r="D956" s="76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customFormat="false" ht="15" hidden="false" customHeight="false" outlineLevel="0" collapsed="false">
      <c r="A957" s="75"/>
      <c r="B957" s="76"/>
      <c r="C957" s="76"/>
      <c r="D957" s="76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customFormat="false" ht="15" hidden="false" customHeight="false" outlineLevel="0" collapsed="false">
      <c r="A958" s="75"/>
      <c r="B958" s="76"/>
      <c r="C958" s="76"/>
      <c r="D958" s="76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customFormat="false" ht="15" hidden="false" customHeight="false" outlineLevel="0" collapsed="false">
      <c r="A959" s="75"/>
      <c r="B959" s="76"/>
      <c r="C959" s="76"/>
      <c r="D959" s="76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customFormat="false" ht="15" hidden="false" customHeight="false" outlineLevel="0" collapsed="false">
      <c r="A960" s="75"/>
      <c r="B960" s="76"/>
      <c r="C960" s="76"/>
      <c r="D960" s="76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customFormat="false" ht="15" hidden="false" customHeight="false" outlineLevel="0" collapsed="false">
      <c r="A961" s="75"/>
      <c r="B961" s="76"/>
      <c r="C961" s="76"/>
      <c r="D961" s="76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customFormat="false" ht="15" hidden="false" customHeight="false" outlineLevel="0" collapsed="false">
      <c r="A962" s="75"/>
      <c r="B962" s="76"/>
      <c r="C962" s="76"/>
      <c r="D962" s="76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customFormat="false" ht="15" hidden="false" customHeight="false" outlineLevel="0" collapsed="false">
      <c r="A963" s="75"/>
      <c r="B963" s="76"/>
      <c r="C963" s="76"/>
      <c r="D963" s="76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customFormat="false" ht="15" hidden="false" customHeight="false" outlineLevel="0" collapsed="false">
      <c r="A964" s="75"/>
      <c r="B964" s="76"/>
      <c r="C964" s="76"/>
      <c r="D964" s="76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customFormat="false" ht="15" hidden="false" customHeight="false" outlineLevel="0" collapsed="false">
      <c r="A965" s="75"/>
      <c r="B965" s="76"/>
      <c r="C965" s="76"/>
      <c r="D965" s="76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customFormat="false" ht="15" hidden="false" customHeight="false" outlineLevel="0" collapsed="false">
      <c r="A966" s="75"/>
      <c r="B966" s="76"/>
      <c r="C966" s="76"/>
      <c r="D966" s="76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customFormat="false" ht="15" hidden="false" customHeight="false" outlineLevel="0" collapsed="false">
      <c r="A967" s="75"/>
      <c r="B967" s="76"/>
      <c r="C967" s="76"/>
      <c r="D967" s="76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customFormat="false" ht="15" hidden="false" customHeight="false" outlineLevel="0" collapsed="false">
      <c r="A968" s="75"/>
      <c r="B968" s="76"/>
      <c r="C968" s="76"/>
      <c r="D968" s="76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customFormat="false" ht="15" hidden="false" customHeight="false" outlineLevel="0" collapsed="false">
      <c r="A969" s="75"/>
      <c r="B969" s="76"/>
      <c r="C969" s="76"/>
      <c r="D969" s="76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customFormat="false" ht="15" hidden="false" customHeight="false" outlineLevel="0" collapsed="false">
      <c r="A970" s="75"/>
      <c r="B970" s="76"/>
      <c r="C970" s="76"/>
      <c r="D970" s="76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customFormat="false" ht="15" hidden="false" customHeight="false" outlineLevel="0" collapsed="false">
      <c r="A971" s="75"/>
      <c r="B971" s="76"/>
      <c r="C971" s="76"/>
      <c r="D971" s="76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customFormat="false" ht="15" hidden="false" customHeight="false" outlineLevel="0" collapsed="false">
      <c r="A972" s="75"/>
      <c r="B972" s="76"/>
      <c r="C972" s="76"/>
      <c r="D972" s="76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customFormat="false" ht="15" hidden="false" customHeight="false" outlineLevel="0" collapsed="false">
      <c r="A973" s="75"/>
      <c r="B973" s="76"/>
      <c r="C973" s="76"/>
      <c r="D973" s="76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customFormat="false" ht="15" hidden="false" customHeight="false" outlineLevel="0" collapsed="false">
      <c r="A974" s="75"/>
      <c r="B974" s="76"/>
      <c r="C974" s="76"/>
      <c r="D974" s="76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customFormat="false" ht="15" hidden="false" customHeight="false" outlineLevel="0" collapsed="false">
      <c r="A975" s="75"/>
      <c r="B975" s="76"/>
      <c r="C975" s="76"/>
      <c r="D975" s="76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customFormat="false" ht="15" hidden="false" customHeight="false" outlineLevel="0" collapsed="false">
      <c r="A976" s="75"/>
      <c r="B976" s="76"/>
      <c r="C976" s="76"/>
      <c r="D976" s="76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customFormat="false" ht="15" hidden="false" customHeight="false" outlineLevel="0" collapsed="false">
      <c r="A977" s="75"/>
      <c r="B977" s="76"/>
      <c r="C977" s="76"/>
      <c r="D977" s="76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customFormat="false" ht="15" hidden="false" customHeight="false" outlineLevel="0" collapsed="false">
      <c r="A978" s="75"/>
      <c r="B978" s="76"/>
      <c r="C978" s="76"/>
      <c r="D978" s="76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customFormat="false" ht="15" hidden="false" customHeight="false" outlineLevel="0" collapsed="false">
      <c r="A979" s="75"/>
      <c r="B979" s="76"/>
      <c r="C979" s="76"/>
      <c r="D979" s="76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customFormat="false" ht="15" hidden="false" customHeight="false" outlineLevel="0" collapsed="false">
      <c r="A980" s="75"/>
      <c r="B980" s="76"/>
      <c r="C980" s="76"/>
      <c r="D980" s="76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customFormat="false" ht="15" hidden="false" customHeight="false" outlineLevel="0" collapsed="false">
      <c r="A981" s="75"/>
      <c r="B981" s="76"/>
      <c r="C981" s="76"/>
      <c r="D981" s="76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customFormat="false" ht="15" hidden="false" customHeight="false" outlineLevel="0" collapsed="false">
      <c r="A982" s="75"/>
      <c r="B982" s="76"/>
      <c r="C982" s="76"/>
      <c r="D982" s="76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customFormat="false" ht="15" hidden="false" customHeight="false" outlineLevel="0" collapsed="false">
      <c r="A983" s="75"/>
      <c r="B983" s="76"/>
      <c r="C983" s="76"/>
      <c r="D983" s="76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customFormat="false" ht="15" hidden="false" customHeight="false" outlineLevel="0" collapsed="false">
      <c r="A984" s="75"/>
      <c r="B984" s="76"/>
      <c r="C984" s="76"/>
      <c r="D984" s="76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customFormat="false" ht="15" hidden="false" customHeight="false" outlineLevel="0" collapsed="false">
      <c r="A985" s="75"/>
      <c r="B985" s="76"/>
      <c r="C985" s="76"/>
      <c r="D985" s="76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customFormat="false" ht="15" hidden="false" customHeight="false" outlineLevel="0" collapsed="false">
      <c r="A986" s="75"/>
      <c r="B986" s="76"/>
      <c r="C986" s="76"/>
      <c r="D986" s="76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customFormat="false" ht="15" hidden="false" customHeight="false" outlineLevel="0" collapsed="false">
      <c r="A987" s="75"/>
      <c r="B987" s="76"/>
      <c r="C987" s="76"/>
      <c r="D987" s="76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customFormat="false" ht="15" hidden="false" customHeight="false" outlineLevel="0" collapsed="false">
      <c r="A988" s="75"/>
      <c r="B988" s="76"/>
      <c r="C988" s="76"/>
      <c r="D988" s="76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customFormat="false" ht="15" hidden="false" customHeight="false" outlineLevel="0" collapsed="false">
      <c r="A989" s="75"/>
      <c r="B989" s="76"/>
      <c r="C989" s="76"/>
      <c r="D989" s="76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customFormat="false" ht="15" hidden="false" customHeight="false" outlineLevel="0" collapsed="false">
      <c r="A990" s="75"/>
      <c r="B990" s="76"/>
      <c r="C990" s="76"/>
      <c r="D990" s="76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customFormat="false" ht="15" hidden="false" customHeight="false" outlineLevel="0" collapsed="false">
      <c r="A991" s="75"/>
      <c r="B991" s="76"/>
      <c r="C991" s="76"/>
      <c r="D991" s="76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customFormat="false" ht="15" hidden="false" customHeight="false" outlineLevel="0" collapsed="false">
      <c r="A992" s="75"/>
      <c r="B992" s="76"/>
      <c r="C992" s="76"/>
      <c r="D992" s="76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customFormat="false" ht="15" hidden="false" customHeight="false" outlineLevel="0" collapsed="false">
      <c r="A993" s="75"/>
      <c r="B993" s="76"/>
      <c r="C993" s="76"/>
      <c r="D993" s="76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customFormat="false" ht="15" hidden="false" customHeight="false" outlineLevel="0" collapsed="false">
      <c r="A994" s="75"/>
      <c r="B994" s="76"/>
      <c r="C994" s="76"/>
      <c r="D994" s="76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customFormat="false" ht="15" hidden="false" customHeight="false" outlineLevel="0" collapsed="false">
      <c r="A995" s="75"/>
      <c r="B995" s="76"/>
      <c r="C995" s="76"/>
      <c r="D995" s="76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customFormat="false" ht="15" hidden="false" customHeight="false" outlineLevel="0" collapsed="false">
      <c r="A996" s="75"/>
      <c r="B996" s="76"/>
      <c r="C996" s="76"/>
      <c r="D996" s="76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customFormat="false" ht="15" hidden="false" customHeight="false" outlineLevel="0" collapsed="false">
      <c r="A997" s="75"/>
      <c r="B997" s="76"/>
      <c r="C997" s="76"/>
      <c r="D997" s="76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customFormat="false" ht="15" hidden="false" customHeight="false" outlineLevel="0" collapsed="false">
      <c r="A998" s="75"/>
      <c r="B998" s="76"/>
      <c r="C998" s="76"/>
      <c r="D998" s="76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customFormat="false" ht="15" hidden="false" customHeight="false" outlineLevel="0" collapsed="false">
      <c r="A999" s="75"/>
      <c r="B999" s="76"/>
      <c r="C999" s="76"/>
      <c r="D999" s="76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customFormat="false" ht="15" hidden="false" customHeight="false" outlineLevel="0" collapsed="false">
      <c r="A1000" s="75"/>
      <c r="B1000" s="76"/>
      <c r="C1000" s="76"/>
      <c r="D1000" s="76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  <row r="1001" customFormat="false" ht="15" hidden="false" customHeight="false" outlineLevel="0" collapsed="false">
      <c r="A1001" s="75"/>
      <c r="B1001" s="76"/>
      <c r="C1001" s="76"/>
      <c r="D1001" s="76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  <c r="Z1001" s="69"/>
    </row>
    <row r="1002" customFormat="false" ht="15" hidden="false" customHeight="false" outlineLevel="0" collapsed="false">
      <c r="A1002" s="75"/>
      <c r="B1002" s="76"/>
      <c r="C1002" s="76"/>
      <c r="D1002" s="76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  <c r="Z1002" s="69"/>
    </row>
  </sheetData>
  <mergeCells count="7">
    <mergeCell ref="A1:D1"/>
    <mergeCell ref="A3:A13"/>
    <mergeCell ref="B3:B13"/>
    <mergeCell ref="A14:A22"/>
    <mergeCell ref="B14:B22"/>
    <mergeCell ref="A23:A30"/>
    <mergeCell ref="B23:B30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Z10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5.57"/>
    <col collapsed="false" customWidth="true" hidden="false" outlineLevel="0" max="2" min="2" style="0" width="21.86"/>
    <col collapsed="false" customWidth="true" hidden="false" outlineLevel="0" max="3" min="3" style="0" width="27.57"/>
    <col collapsed="false" customWidth="true" hidden="false" outlineLevel="0" max="4" min="4" style="0" width="11.71"/>
    <col collapsed="false" customWidth="true" hidden="false" outlineLevel="0" max="5" min="5" style="0" width="8.86"/>
    <col collapsed="false" customWidth="true" hidden="false" outlineLevel="0" max="6" min="6" style="0" width="4.86"/>
    <col collapsed="false" customWidth="true" hidden="false" outlineLevel="0" max="7" min="7" style="0" width="19.71"/>
    <col collapsed="false" customWidth="true" hidden="false" outlineLevel="0" max="8" min="8" style="0" width="11.43"/>
    <col collapsed="false" customWidth="true" hidden="false" outlineLevel="0" max="9" min="9" style="0" width="17.29"/>
    <col collapsed="false" customWidth="true" hidden="false" outlineLevel="0" max="10" min="10" style="0" width="14.29"/>
    <col collapsed="false" customWidth="true" hidden="false" outlineLevel="0" max="11" min="11" style="0" width="16.71"/>
  </cols>
  <sheetData>
    <row r="1" customFormat="false" ht="36.75" hidden="false" customHeight="true" outlineLevel="0" collapsed="false">
      <c r="A1" s="77"/>
      <c r="B1" s="77"/>
      <c r="C1" s="77"/>
      <c r="D1" s="77"/>
      <c r="E1" s="77"/>
      <c r="F1" s="77"/>
      <c r="G1" s="77"/>
      <c r="H1" s="77"/>
      <c r="I1" s="77"/>
      <c r="J1" s="77"/>
      <c r="K1" s="77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customFormat="false" ht="15" hidden="false" customHeight="false" outlineLevel="0" collapsed="false">
      <c r="A2" s="78" t="s">
        <v>233</v>
      </c>
      <c r="B2" s="78" t="s">
        <v>53</v>
      </c>
      <c r="C2" s="78" t="s">
        <v>54</v>
      </c>
      <c r="D2" s="78" t="s">
        <v>160</v>
      </c>
      <c r="E2" s="78" t="s">
        <v>238</v>
      </c>
      <c r="F2" s="78" t="s">
        <v>145</v>
      </c>
      <c r="G2" s="78" t="s">
        <v>67</v>
      </c>
      <c r="H2" s="78" t="s">
        <v>68</v>
      </c>
      <c r="I2" s="78" t="s">
        <v>241</v>
      </c>
      <c r="J2" s="78" t="s">
        <v>243</v>
      </c>
      <c r="K2" s="78" t="s">
        <v>245</v>
      </c>
      <c r="L2" s="68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</row>
    <row r="3" customFormat="false" ht="15" hidden="false" customHeight="false" outlineLevel="0" collapsed="false">
      <c r="A3" s="79" t="n">
        <v>1</v>
      </c>
      <c r="B3" s="79" t="s">
        <v>270</v>
      </c>
      <c r="C3" s="79" t="s">
        <v>271</v>
      </c>
      <c r="D3" s="79"/>
      <c r="E3" s="80" t="n">
        <v>1</v>
      </c>
      <c r="F3" s="79" t="s">
        <v>272</v>
      </c>
      <c r="G3" s="79"/>
      <c r="H3" s="79"/>
      <c r="I3" s="79" t="s">
        <v>273</v>
      </c>
      <c r="J3" s="81" t="n">
        <v>0.0428</v>
      </c>
      <c r="K3" s="80" t="n">
        <v>12</v>
      </c>
      <c r="L3" s="68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</row>
    <row r="4" customFormat="false" ht="15" hidden="false" customHeight="false" outlineLevel="0" collapsed="false">
      <c r="A4" s="79" t="n">
        <v>1</v>
      </c>
      <c r="B4" s="79" t="s">
        <v>274</v>
      </c>
      <c r="C4" s="79" t="s">
        <v>275</v>
      </c>
      <c r="D4" s="79"/>
      <c r="E4" s="80" t="n">
        <v>1</v>
      </c>
      <c r="F4" s="79" t="s">
        <v>272</v>
      </c>
      <c r="G4" s="79"/>
      <c r="H4" s="79"/>
      <c r="I4" s="79" t="s">
        <v>273</v>
      </c>
      <c r="J4" s="81" t="n">
        <v>0.0428</v>
      </c>
      <c r="K4" s="80" t="n">
        <v>12</v>
      </c>
      <c r="L4" s="68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</row>
    <row r="5" customFormat="false" ht="15" hidden="false" customHeight="false" outlineLevel="0" collapsed="false">
      <c r="A5" s="79" t="n">
        <v>1</v>
      </c>
      <c r="B5" s="79" t="s">
        <v>276</v>
      </c>
      <c r="C5" s="79" t="s">
        <v>277</v>
      </c>
      <c r="D5" s="79"/>
      <c r="E5" s="80" t="n">
        <v>4</v>
      </c>
      <c r="F5" s="79" t="s">
        <v>272</v>
      </c>
      <c r="G5" s="79"/>
      <c r="H5" s="79"/>
      <c r="I5" s="79" t="s">
        <v>273</v>
      </c>
      <c r="J5" s="81" t="n">
        <v>0.0214</v>
      </c>
      <c r="K5" s="80" t="n">
        <v>6</v>
      </c>
      <c r="L5" s="68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</row>
    <row r="6" customFormat="false" ht="15" hidden="false" customHeight="false" outlineLevel="0" collapsed="false">
      <c r="A6" s="79" t="n">
        <v>1</v>
      </c>
      <c r="B6" s="79" t="s">
        <v>278</v>
      </c>
      <c r="C6" s="79" t="s">
        <v>279</v>
      </c>
      <c r="D6" s="79"/>
      <c r="E6" s="80" t="n">
        <v>2</v>
      </c>
      <c r="F6" s="79" t="s">
        <v>272</v>
      </c>
      <c r="G6" s="79"/>
      <c r="H6" s="79"/>
      <c r="I6" s="79" t="s">
        <v>273</v>
      </c>
      <c r="J6" s="81" t="n">
        <v>0.0036</v>
      </c>
      <c r="K6" s="80" t="n">
        <v>1</v>
      </c>
      <c r="L6" s="68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</row>
    <row r="7" customFormat="false" ht="15" hidden="false" customHeight="false" outlineLevel="0" collapsed="false">
      <c r="A7" s="79" t="n">
        <v>1</v>
      </c>
      <c r="B7" s="79" t="s">
        <v>280</v>
      </c>
      <c r="C7" s="79" t="s">
        <v>281</v>
      </c>
      <c r="D7" s="79"/>
      <c r="E7" s="80" t="n">
        <v>2</v>
      </c>
      <c r="F7" s="79" t="s">
        <v>272</v>
      </c>
      <c r="G7" s="79"/>
      <c r="H7" s="79"/>
      <c r="I7" s="79" t="s">
        <v>273</v>
      </c>
      <c r="J7" s="81" t="n">
        <v>0.0571</v>
      </c>
      <c r="K7" s="80" t="n">
        <v>16</v>
      </c>
      <c r="L7" s="68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</row>
    <row r="8" customFormat="false" ht="15" hidden="false" customHeight="false" outlineLevel="0" collapsed="false">
      <c r="A8" s="79" t="n">
        <v>1</v>
      </c>
      <c r="B8" s="79" t="s">
        <v>282</v>
      </c>
      <c r="C8" s="79" t="s">
        <v>283</v>
      </c>
      <c r="D8" s="79"/>
      <c r="E8" s="80" t="n">
        <v>1</v>
      </c>
      <c r="F8" s="79" t="s">
        <v>272</v>
      </c>
      <c r="G8" s="79"/>
      <c r="H8" s="79"/>
      <c r="I8" s="79" t="s">
        <v>273</v>
      </c>
      <c r="J8" s="81" t="n">
        <v>0.1783</v>
      </c>
      <c r="K8" s="80" t="n">
        <v>50</v>
      </c>
      <c r="L8" s="68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</row>
    <row r="9" customFormat="false" ht="15" hidden="false" customHeight="false" outlineLevel="0" collapsed="false">
      <c r="A9" s="79" t="n">
        <v>1</v>
      </c>
      <c r="B9" s="79" t="s">
        <v>284</v>
      </c>
      <c r="C9" s="79" t="s">
        <v>285</v>
      </c>
      <c r="D9" s="79"/>
      <c r="E9" s="80" t="n">
        <v>1</v>
      </c>
      <c r="F9" s="79" t="s">
        <v>272</v>
      </c>
      <c r="G9" s="79"/>
      <c r="H9" s="79"/>
      <c r="I9" s="79" t="s">
        <v>273</v>
      </c>
      <c r="J9" s="81" t="n">
        <v>0.1783</v>
      </c>
      <c r="K9" s="80" t="n">
        <v>50</v>
      </c>
      <c r="L9" s="68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</row>
    <row r="10" customFormat="false" ht="15" hidden="false" customHeight="false" outlineLevel="0" collapsed="false">
      <c r="A10" s="79" t="n">
        <v>1</v>
      </c>
      <c r="B10" s="79" t="s">
        <v>286</v>
      </c>
      <c r="C10" s="79" t="s">
        <v>287</v>
      </c>
      <c r="D10" s="79"/>
      <c r="E10" s="80" t="n">
        <v>2</v>
      </c>
      <c r="F10" s="79" t="s">
        <v>272</v>
      </c>
      <c r="G10" s="79"/>
      <c r="H10" s="79"/>
      <c r="I10" s="79" t="s">
        <v>273</v>
      </c>
      <c r="J10" s="81" t="n">
        <v>0.1783</v>
      </c>
      <c r="K10" s="80" t="n">
        <v>50</v>
      </c>
      <c r="L10" s="68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</row>
    <row r="11" customFormat="false" ht="15" hidden="false" customHeight="false" outlineLevel="0" collapsed="false">
      <c r="A11" s="79" t="n">
        <v>1</v>
      </c>
      <c r="B11" s="79" t="s">
        <v>288</v>
      </c>
      <c r="C11" s="79" t="s">
        <v>289</v>
      </c>
      <c r="D11" s="79"/>
      <c r="E11" s="80" t="n">
        <v>2</v>
      </c>
      <c r="F11" s="79" t="s">
        <v>272</v>
      </c>
      <c r="G11" s="79"/>
      <c r="H11" s="79"/>
      <c r="I11" s="79" t="s">
        <v>273</v>
      </c>
      <c r="J11" s="81" t="n">
        <v>0.0713</v>
      </c>
      <c r="K11" s="80" t="n">
        <v>20</v>
      </c>
      <c r="L11" s="68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</row>
    <row r="12" customFormat="false" ht="15" hidden="false" customHeight="false" outlineLevel="0" collapsed="false">
      <c r="A12" s="79" t="n">
        <v>1</v>
      </c>
      <c r="B12" s="79" t="s">
        <v>290</v>
      </c>
      <c r="C12" s="79" t="s">
        <v>291</v>
      </c>
      <c r="D12" s="79"/>
      <c r="E12" s="82" t="n">
        <v>2</v>
      </c>
      <c r="F12" s="79" t="s">
        <v>272</v>
      </c>
      <c r="G12" s="79"/>
      <c r="H12" s="79"/>
      <c r="I12" s="79" t="s">
        <v>273</v>
      </c>
      <c r="J12" s="81" t="n">
        <v>0.0713</v>
      </c>
      <c r="K12" s="80" t="n">
        <v>20</v>
      </c>
      <c r="L12" s="68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</row>
    <row r="13" customFormat="false" ht="15" hidden="false" customHeight="false" outlineLevel="0" collapsed="false">
      <c r="A13" s="79" t="n">
        <v>1</v>
      </c>
      <c r="B13" s="79" t="s">
        <v>292</v>
      </c>
      <c r="C13" s="79" t="s">
        <v>293</v>
      </c>
      <c r="D13" s="79"/>
      <c r="E13" s="80" t="n">
        <v>2</v>
      </c>
      <c r="F13" s="79" t="s">
        <v>272</v>
      </c>
      <c r="G13" s="79"/>
      <c r="H13" s="79"/>
      <c r="I13" s="79" t="s">
        <v>273</v>
      </c>
      <c r="J13" s="81" t="n">
        <v>0.0036</v>
      </c>
      <c r="K13" s="80" t="n">
        <v>1</v>
      </c>
      <c r="L13" s="68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</row>
    <row r="14" customFormat="false" ht="15" hidden="false" customHeight="false" outlineLevel="0" collapsed="false">
      <c r="A14" s="79" t="n">
        <v>1</v>
      </c>
      <c r="B14" s="79" t="s">
        <v>294</v>
      </c>
      <c r="C14" s="79" t="s">
        <v>295</v>
      </c>
      <c r="D14" s="79"/>
      <c r="E14" s="80" t="n">
        <v>2</v>
      </c>
      <c r="F14" s="79" t="s">
        <v>272</v>
      </c>
      <c r="G14" s="79"/>
      <c r="H14" s="79"/>
      <c r="I14" s="79" t="s">
        <v>273</v>
      </c>
      <c r="J14" s="81" t="n">
        <v>0.0014</v>
      </c>
      <c r="K14" s="80" t="n">
        <v>0.4</v>
      </c>
      <c r="L14" s="68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</row>
    <row r="15" customFormat="false" ht="15" hidden="false" customHeight="false" outlineLevel="0" collapsed="false">
      <c r="A15" s="79" t="n">
        <v>1</v>
      </c>
      <c r="B15" s="79" t="s">
        <v>296</v>
      </c>
      <c r="C15" s="79" t="s">
        <v>297</v>
      </c>
      <c r="D15" s="79"/>
      <c r="E15" s="80" t="n">
        <v>2</v>
      </c>
      <c r="F15" s="79" t="s">
        <v>272</v>
      </c>
      <c r="G15" s="79"/>
      <c r="H15" s="79"/>
      <c r="I15" s="79" t="s">
        <v>273</v>
      </c>
      <c r="J15" s="81" t="n">
        <v>0.0143</v>
      </c>
      <c r="K15" s="80" t="n">
        <v>4</v>
      </c>
      <c r="L15" s="68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</row>
    <row r="16" customFormat="false" ht="15" hidden="false" customHeight="false" outlineLevel="0" collapsed="false">
      <c r="A16" s="79" t="n">
        <v>1</v>
      </c>
      <c r="B16" s="79" t="s">
        <v>298</v>
      </c>
      <c r="C16" s="79" t="s">
        <v>299</v>
      </c>
      <c r="D16" s="79"/>
      <c r="E16" s="80" t="n">
        <v>2</v>
      </c>
      <c r="F16" s="79" t="s">
        <v>272</v>
      </c>
      <c r="G16" s="79"/>
      <c r="H16" s="79"/>
      <c r="I16" s="79" t="s">
        <v>273</v>
      </c>
      <c r="J16" s="81" t="n">
        <v>0.0071</v>
      </c>
      <c r="K16" s="80" t="n">
        <v>2</v>
      </c>
      <c r="L16" s="68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</row>
    <row r="17" customFormat="false" ht="15" hidden="false" customHeight="false" outlineLevel="0" collapsed="false">
      <c r="A17" s="79" t="n">
        <v>1</v>
      </c>
      <c r="B17" s="79" t="s">
        <v>300</v>
      </c>
      <c r="C17" s="79" t="s">
        <v>301</v>
      </c>
      <c r="D17" s="79"/>
      <c r="E17" s="80" t="n">
        <v>1</v>
      </c>
      <c r="F17" s="79" t="s">
        <v>302</v>
      </c>
      <c r="G17" s="79"/>
      <c r="H17" s="79"/>
      <c r="I17" s="79" t="s">
        <v>273</v>
      </c>
      <c r="J17" s="81" t="n">
        <v>0.107</v>
      </c>
      <c r="K17" s="80" t="n">
        <v>30</v>
      </c>
      <c r="L17" s="68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</row>
    <row r="18" customFormat="false" ht="15" hidden="false" customHeight="false" outlineLevel="0" collapsed="false">
      <c r="A18" s="79" t="n">
        <v>1</v>
      </c>
      <c r="B18" s="79" t="s">
        <v>303</v>
      </c>
      <c r="C18" s="79" t="s">
        <v>304</v>
      </c>
      <c r="D18" s="79"/>
      <c r="E18" s="80" t="n">
        <v>1</v>
      </c>
      <c r="F18" s="79" t="s">
        <v>272</v>
      </c>
      <c r="G18" s="79"/>
      <c r="H18" s="79"/>
      <c r="I18" s="79" t="s">
        <v>273</v>
      </c>
      <c r="J18" s="81" t="n">
        <v>0.0214</v>
      </c>
      <c r="K18" s="80" t="n">
        <v>6</v>
      </c>
      <c r="L18" s="68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</row>
    <row r="19" customFormat="false" ht="15" hidden="false" customHeight="false" outlineLevel="0" collapsed="false">
      <c r="A19" s="79" t="n">
        <v>2</v>
      </c>
      <c r="B19" s="79" t="s">
        <v>305</v>
      </c>
      <c r="C19" s="79" t="s">
        <v>306</v>
      </c>
      <c r="D19" s="79" t="s">
        <v>270</v>
      </c>
      <c r="E19" s="80" t="n">
        <v>1</v>
      </c>
      <c r="F19" s="79" t="s">
        <v>272</v>
      </c>
      <c r="G19" s="79" t="s">
        <v>307</v>
      </c>
      <c r="H19" s="79" t="s">
        <v>308</v>
      </c>
      <c r="I19" s="79" t="s">
        <v>273</v>
      </c>
      <c r="J19" s="81" t="n">
        <v>0.3961</v>
      </c>
      <c r="K19" s="80" t="n">
        <v>4.7532</v>
      </c>
      <c r="L19" s="68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</row>
    <row r="20" customFormat="false" ht="15" hidden="false" customHeight="false" outlineLevel="0" collapsed="false">
      <c r="A20" s="79"/>
      <c r="B20" s="79"/>
      <c r="C20" s="79"/>
      <c r="D20" s="79"/>
      <c r="E20" s="79"/>
      <c r="F20" s="79"/>
      <c r="G20" s="79" t="s">
        <v>309</v>
      </c>
      <c r="H20" s="79" t="s">
        <v>308</v>
      </c>
      <c r="I20" s="79"/>
      <c r="J20" s="79"/>
      <c r="K20" s="79"/>
      <c r="L20" s="68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</row>
    <row r="21" customFormat="false" ht="15" hidden="false" customHeight="false" outlineLevel="0" collapsed="false">
      <c r="A21" s="79"/>
      <c r="B21" s="79"/>
      <c r="C21" s="79"/>
      <c r="D21" s="79"/>
      <c r="E21" s="79"/>
      <c r="F21" s="79"/>
      <c r="G21" s="79" t="s">
        <v>310</v>
      </c>
      <c r="H21" s="79" t="s">
        <v>311</v>
      </c>
      <c r="I21" s="79"/>
      <c r="J21" s="79"/>
      <c r="K21" s="79"/>
      <c r="L21" s="68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</row>
    <row r="22" customFormat="false" ht="15" hidden="false" customHeight="false" outlineLevel="0" collapsed="false">
      <c r="A22" s="79" t="n">
        <v>2</v>
      </c>
      <c r="B22" s="79" t="s">
        <v>312</v>
      </c>
      <c r="C22" s="79" t="s">
        <v>313</v>
      </c>
      <c r="D22" s="79" t="s">
        <v>270</v>
      </c>
      <c r="E22" s="80" t="n">
        <v>1</v>
      </c>
      <c r="F22" s="79" t="s">
        <v>272</v>
      </c>
      <c r="G22" s="79" t="s">
        <v>314</v>
      </c>
      <c r="H22" s="79" t="s">
        <v>315</v>
      </c>
      <c r="I22" s="79" t="s">
        <v>273</v>
      </c>
      <c r="J22" s="81" t="n">
        <v>0.6039</v>
      </c>
      <c r="K22" s="80" t="n">
        <v>7.2468</v>
      </c>
      <c r="L22" s="68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</row>
    <row r="23" customFormat="false" ht="15" hidden="false" customHeight="false" outlineLevel="0" collapsed="false">
      <c r="A23" s="79" t="n">
        <v>2</v>
      </c>
      <c r="B23" s="79" t="s">
        <v>305</v>
      </c>
      <c r="C23" s="79" t="s">
        <v>306</v>
      </c>
      <c r="D23" s="79" t="s">
        <v>274</v>
      </c>
      <c r="E23" s="80" t="n">
        <v>1</v>
      </c>
      <c r="F23" s="79" t="s">
        <v>272</v>
      </c>
      <c r="G23" s="79" t="s">
        <v>307</v>
      </c>
      <c r="H23" s="79" t="s">
        <v>308</v>
      </c>
      <c r="I23" s="79" t="s">
        <v>273</v>
      </c>
      <c r="J23" s="81" t="n">
        <v>0.3961</v>
      </c>
      <c r="K23" s="80" t="n">
        <v>4.7532</v>
      </c>
      <c r="L23" s="68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</row>
    <row r="24" customFormat="false" ht="15" hidden="false" customHeight="false" outlineLevel="0" collapsed="false">
      <c r="A24" s="79"/>
      <c r="B24" s="79"/>
      <c r="C24" s="79"/>
      <c r="D24" s="79"/>
      <c r="E24" s="79"/>
      <c r="F24" s="79"/>
      <c r="G24" s="79" t="s">
        <v>309</v>
      </c>
      <c r="H24" s="79" t="s">
        <v>308</v>
      </c>
      <c r="I24" s="79"/>
      <c r="J24" s="79"/>
      <c r="K24" s="79"/>
      <c r="L24" s="68"/>
      <c r="M24" s="83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</row>
    <row r="25" customFormat="false" ht="15" hidden="false" customHeight="false" outlineLevel="0" collapsed="false">
      <c r="A25" s="79"/>
      <c r="B25" s="79"/>
      <c r="C25" s="79"/>
      <c r="D25" s="79"/>
      <c r="E25" s="79"/>
      <c r="F25" s="79"/>
      <c r="G25" s="79" t="s">
        <v>310</v>
      </c>
      <c r="H25" s="79" t="s">
        <v>311</v>
      </c>
      <c r="I25" s="79"/>
      <c r="J25" s="79"/>
      <c r="K25" s="79"/>
      <c r="L25" s="68"/>
      <c r="M25" s="83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</row>
    <row r="26" customFormat="false" ht="15" hidden="false" customHeight="false" outlineLevel="0" collapsed="false">
      <c r="A26" s="79" t="n">
        <v>2</v>
      </c>
      <c r="B26" s="79" t="s">
        <v>312</v>
      </c>
      <c r="C26" s="79" t="s">
        <v>313</v>
      </c>
      <c r="D26" s="79" t="s">
        <v>274</v>
      </c>
      <c r="E26" s="80" t="n">
        <v>1</v>
      </c>
      <c r="F26" s="79" t="s">
        <v>272</v>
      </c>
      <c r="G26" s="79" t="s">
        <v>314</v>
      </c>
      <c r="H26" s="79" t="s">
        <v>315</v>
      </c>
      <c r="I26" s="79" t="s">
        <v>273</v>
      </c>
      <c r="J26" s="81" t="n">
        <v>0.6039</v>
      </c>
      <c r="K26" s="80" t="n">
        <v>7.2468</v>
      </c>
      <c r="L26" s="68"/>
      <c r="M26" s="83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</row>
    <row r="27" customFormat="false" ht="15" hidden="false" customHeight="false" outlineLevel="0" collapsed="false">
      <c r="A27" s="79" t="n">
        <v>2</v>
      </c>
      <c r="B27" s="79" t="s">
        <v>316</v>
      </c>
      <c r="C27" s="79" t="s">
        <v>317</v>
      </c>
      <c r="D27" s="79" t="s">
        <v>276</v>
      </c>
      <c r="E27" s="80" t="n">
        <v>1</v>
      </c>
      <c r="F27" s="79" t="s">
        <v>272</v>
      </c>
      <c r="G27" s="79" t="s">
        <v>318</v>
      </c>
      <c r="H27" s="79" t="s">
        <v>315</v>
      </c>
      <c r="I27" s="79" t="s">
        <v>273</v>
      </c>
      <c r="J27" s="81" t="n">
        <v>0.6431</v>
      </c>
      <c r="K27" s="80" t="n">
        <v>3.8586</v>
      </c>
      <c r="L27" s="68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</row>
    <row r="28" customFormat="false" ht="15" hidden="false" customHeight="false" outlineLevel="0" collapsed="false">
      <c r="A28" s="79" t="n">
        <v>2</v>
      </c>
      <c r="B28" s="79" t="s">
        <v>312</v>
      </c>
      <c r="C28" s="79" t="s">
        <v>313</v>
      </c>
      <c r="D28" s="79" t="s">
        <v>276</v>
      </c>
      <c r="E28" s="80" t="n">
        <v>1</v>
      </c>
      <c r="F28" s="79" t="s">
        <v>272</v>
      </c>
      <c r="G28" s="79" t="s">
        <v>314</v>
      </c>
      <c r="H28" s="79" t="s">
        <v>315</v>
      </c>
      <c r="I28" s="79" t="s">
        <v>273</v>
      </c>
      <c r="J28" s="81" t="n">
        <v>0.3569</v>
      </c>
      <c r="K28" s="80" t="n">
        <v>2.1414</v>
      </c>
      <c r="L28" s="68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</row>
    <row r="29" customFormat="false" ht="15" hidden="false" customHeight="false" outlineLevel="0" collapsed="false">
      <c r="A29" s="79" t="n">
        <v>2</v>
      </c>
      <c r="B29" s="79" t="s">
        <v>319</v>
      </c>
      <c r="C29" s="79" t="s">
        <v>320</v>
      </c>
      <c r="D29" s="79" t="s">
        <v>278</v>
      </c>
      <c r="E29" s="80" t="n">
        <v>1</v>
      </c>
      <c r="F29" s="79" t="s">
        <v>272</v>
      </c>
      <c r="G29" s="79" t="s">
        <v>307</v>
      </c>
      <c r="H29" s="79" t="s">
        <v>308</v>
      </c>
      <c r="I29" s="79" t="s">
        <v>273</v>
      </c>
      <c r="J29" s="84" t="n">
        <v>1</v>
      </c>
      <c r="K29" s="80" t="n">
        <v>1</v>
      </c>
      <c r="L29" s="68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</row>
    <row r="30" customFormat="false" ht="15" hidden="false" customHeight="false" outlineLevel="0" collapsed="false">
      <c r="A30" s="79"/>
      <c r="B30" s="79"/>
      <c r="C30" s="79"/>
      <c r="D30" s="79"/>
      <c r="E30" s="79"/>
      <c r="F30" s="79"/>
      <c r="G30" s="79" t="s">
        <v>310</v>
      </c>
      <c r="H30" s="79" t="s">
        <v>311</v>
      </c>
      <c r="I30" s="79"/>
      <c r="J30" s="79"/>
      <c r="K30" s="79"/>
      <c r="L30" s="68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</row>
    <row r="31" customFormat="false" ht="15" hidden="false" customHeight="false" outlineLevel="0" collapsed="false">
      <c r="A31" s="79" t="n">
        <v>2</v>
      </c>
      <c r="B31" s="79" t="s">
        <v>305</v>
      </c>
      <c r="C31" s="79" t="s">
        <v>306</v>
      </c>
      <c r="D31" s="79" t="s">
        <v>280</v>
      </c>
      <c r="E31" s="80" t="n">
        <v>1</v>
      </c>
      <c r="F31" s="79" t="s">
        <v>272</v>
      </c>
      <c r="G31" s="79" t="s">
        <v>307</v>
      </c>
      <c r="H31" s="79" t="s">
        <v>308</v>
      </c>
      <c r="I31" s="79" t="s">
        <v>273</v>
      </c>
      <c r="J31" s="84" t="n">
        <v>1</v>
      </c>
      <c r="K31" s="80" t="n">
        <v>16</v>
      </c>
      <c r="L31" s="68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</row>
    <row r="32" customFormat="false" ht="15" hidden="false" customHeight="false" outlineLevel="0" collapsed="false">
      <c r="A32" s="79"/>
      <c r="B32" s="79"/>
      <c r="C32" s="79"/>
      <c r="D32" s="79"/>
      <c r="E32" s="79"/>
      <c r="F32" s="79"/>
      <c r="G32" s="79" t="s">
        <v>309</v>
      </c>
      <c r="H32" s="79" t="s">
        <v>308</v>
      </c>
      <c r="I32" s="79"/>
      <c r="J32" s="79"/>
      <c r="K32" s="79"/>
      <c r="L32" s="68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</row>
    <row r="33" customFormat="false" ht="15" hidden="false" customHeight="false" outlineLevel="0" collapsed="false">
      <c r="A33" s="79"/>
      <c r="B33" s="79"/>
      <c r="C33" s="79"/>
      <c r="D33" s="79"/>
      <c r="E33" s="79"/>
      <c r="F33" s="79"/>
      <c r="G33" s="79" t="s">
        <v>310</v>
      </c>
      <c r="H33" s="79" t="s">
        <v>311</v>
      </c>
      <c r="I33" s="79"/>
      <c r="J33" s="79"/>
      <c r="K33" s="79"/>
      <c r="L33" s="68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</row>
    <row r="34" customFormat="false" ht="15" hidden="false" customHeight="false" outlineLevel="0" collapsed="false">
      <c r="A34" s="79" t="n">
        <v>2</v>
      </c>
      <c r="B34" s="79" t="s">
        <v>319</v>
      </c>
      <c r="C34" s="79" t="s">
        <v>320</v>
      </c>
      <c r="D34" s="79" t="s">
        <v>282</v>
      </c>
      <c r="E34" s="80" t="n">
        <v>1</v>
      </c>
      <c r="F34" s="79" t="s">
        <v>272</v>
      </c>
      <c r="G34" s="79" t="s">
        <v>307</v>
      </c>
      <c r="H34" s="79" t="s">
        <v>308</v>
      </c>
      <c r="I34" s="79" t="s">
        <v>273</v>
      </c>
      <c r="J34" s="84" t="n">
        <v>1</v>
      </c>
      <c r="K34" s="80" t="n">
        <v>50</v>
      </c>
      <c r="L34" s="68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</row>
    <row r="35" customFormat="false" ht="15" hidden="false" customHeight="false" outlineLevel="0" collapsed="false">
      <c r="A35" s="79"/>
      <c r="B35" s="79"/>
      <c r="C35" s="79"/>
      <c r="D35" s="79"/>
      <c r="E35" s="79"/>
      <c r="F35" s="79"/>
      <c r="G35" s="79" t="s">
        <v>310</v>
      </c>
      <c r="H35" s="79" t="s">
        <v>311</v>
      </c>
      <c r="I35" s="79"/>
      <c r="J35" s="79"/>
      <c r="K35" s="79"/>
      <c r="L35" s="68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</row>
    <row r="36" customFormat="false" ht="15" hidden="false" customHeight="false" outlineLevel="0" collapsed="false">
      <c r="A36" s="79" t="n">
        <v>2</v>
      </c>
      <c r="B36" s="79" t="s">
        <v>319</v>
      </c>
      <c r="C36" s="79" t="s">
        <v>320</v>
      </c>
      <c r="D36" s="79" t="s">
        <v>284</v>
      </c>
      <c r="E36" s="80" t="n">
        <v>1</v>
      </c>
      <c r="F36" s="79" t="s">
        <v>272</v>
      </c>
      <c r="G36" s="79" t="s">
        <v>307</v>
      </c>
      <c r="H36" s="79" t="s">
        <v>308</v>
      </c>
      <c r="I36" s="79" t="s">
        <v>273</v>
      </c>
      <c r="J36" s="84" t="n">
        <v>1</v>
      </c>
      <c r="K36" s="80" t="n">
        <v>50</v>
      </c>
      <c r="L36" s="68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</row>
    <row r="37" customFormat="false" ht="15" hidden="false" customHeight="false" outlineLevel="0" collapsed="false">
      <c r="A37" s="79"/>
      <c r="B37" s="79"/>
      <c r="C37" s="79"/>
      <c r="D37" s="79"/>
      <c r="E37" s="79"/>
      <c r="F37" s="79"/>
      <c r="G37" s="79" t="s">
        <v>310</v>
      </c>
      <c r="H37" s="79" t="s">
        <v>311</v>
      </c>
      <c r="I37" s="79"/>
      <c r="J37" s="79"/>
      <c r="K37" s="79"/>
      <c r="L37" s="68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</row>
    <row r="38" customFormat="false" ht="15" hidden="false" customHeight="false" outlineLevel="0" collapsed="false">
      <c r="A38" s="79" t="n">
        <v>2</v>
      </c>
      <c r="B38" s="79" t="s">
        <v>319</v>
      </c>
      <c r="C38" s="79" t="s">
        <v>320</v>
      </c>
      <c r="D38" s="79" t="s">
        <v>286</v>
      </c>
      <c r="E38" s="80" t="n">
        <v>1</v>
      </c>
      <c r="F38" s="79" t="s">
        <v>272</v>
      </c>
      <c r="G38" s="79" t="s">
        <v>307</v>
      </c>
      <c r="H38" s="79" t="s">
        <v>308</v>
      </c>
      <c r="I38" s="79" t="s">
        <v>273</v>
      </c>
      <c r="J38" s="84" t="n">
        <v>1</v>
      </c>
      <c r="K38" s="80" t="n">
        <v>50</v>
      </c>
      <c r="L38" s="68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</row>
    <row r="39" customFormat="false" ht="15" hidden="false" customHeight="false" outlineLevel="0" collapsed="false">
      <c r="A39" s="79"/>
      <c r="B39" s="79"/>
      <c r="C39" s="79"/>
      <c r="D39" s="79"/>
      <c r="E39" s="79"/>
      <c r="F39" s="79"/>
      <c r="G39" s="79" t="s">
        <v>310</v>
      </c>
      <c r="H39" s="79" t="s">
        <v>311</v>
      </c>
      <c r="I39" s="79"/>
      <c r="J39" s="79"/>
      <c r="K39" s="79"/>
      <c r="L39" s="68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</row>
    <row r="40" customFormat="false" ht="15" hidden="false" customHeight="false" outlineLevel="0" collapsed="false">
      <c r="A40" s="79" t="n">
        <v>2</v>
      </c>
      <c r="B40" s="79" t="s">
        <v>321</v>
      </c>
      <c r="C40" s="79" t="s">
        <v>322</v>
      </c>
      <c r="D40" s="79" t="s">
        <v>288</v>
      </c>
      <c r="E40" s="80" t="n">
        <v>1</v>
      </c>
      <c r="F40" s="79" t="s">
        <v>272</v>
      </c>
      <c r="G40" s="79" t="s">
        <v>307</v>
      </c>
      <c r="H40" s="79" t="s">
        <v>308</v>
      </c>
      <c r="I40" s="79" t="s">
        <v>273</v>
      </c>
      <c r="J40" s="84" t="n">
        <v>1</v>
      </c>
      <c r="K40" s="80" t="n">
        <v>20</v>
      </c>
      <c r="L40" s="68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</row>
    <row r="41" customFormat="false" ht="15" hidden="false" customHeight="false" outlineLevel="0" collapsed="false">
      <c r="A41" s="79" t="n">
        <v>2</v>
      </c>
      <c r="B41" s="79" t="s">
        <v>321</v>
      </c>
      <c r="C41" s="79" t="s">
        <v>322</v>
      </c>
      <c r="D41" s="79" t="s">
        <v>290</v>
      </c>
      <c r="E41" s="80" t="n">
        <v>1</v>
      </c>
      <c r="F41" s="79" t="s">
        <v>272</v>
      </c>
      <c r="G41" s="79" t="s">
        <v>307</v>
      </c>
      <c r="H41" s="79" t="s">
        <v>308</v>
      </c>
      <c r="I41" s="79" t="s">
        <v>273</v>
      </c>
      <c r="J41" s="84" t="n">
        <v>1</v>
      </c>
      <c r="K41" s="80" t="n">
        <v>20</v>
      </c>
      <c r="L41" s="68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</row>
    <row r="42" customFormat="false" ht="15" hidden="false" customHeight="false" outlineLevel="0" collapsed="false">
      <c r="A42" s="79" t="n">
        <v>2</v>
      </c>
      <c r="B42" s="79" t="s">
        <v>319</v>
      </c>
      <c r="C42" s="79" t="s">
        <v>320</v>
      </c>
      <c r="D42" s="79" t="s">
        <v>292</v>
      </c>
      <c r="E42" s="80" t="n">
        <v>1</v>
      </c>
      <c r="F42" s="79" t="s">
        <v>272</v>
      </c>
      <c r="G42" s="79" t="s">
        <v>307</v>
      </c>
      <c r="H42" s="79" t="s">
        <v>308</v>
      </c>
      <c r="I42" s="79" t="s">
        <v>273</v>
      </c>
      <c r="J42" s="84" t="n">
        <v>1</v>
      </c>
      <c r="K42" s="80" t="n">
        <v>1</v>
      </c>
      <c r="L42" s="68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</row>
    <row r="43" customFormat="false" ht="15" hidden="false" customHeight="false" outlineLevel="0" collapsed="false">
      <c r="A43" s="79"/>
      <c r="B43" s="79"/>
      <c r="C43" s="79"/>
      <c r="D43" s="79"/>
      <c r="E43" s="79"/>
      <c r="F43" s="79"/>
      <c r="G43" s="79" t="s">
        <v>310</v>
      </c>
      <c r="H43" s="79" t="s">
        <v>311</v>
      </c>
      <c r="I43" s="79"/>
      <c r="J43" s="79"/>
      <c r="K43" s="79"/>
      <c r="L43" s="68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</row>
    <row r="44" customFormat="false" ht="15" hidden="false" customHeight="false" outlineLevel="0" collapsed="false">
      <c r="A44" s="79" t="n">
        <v>2</v>
      </c>
      <c r="B44" s="79" t="s">
        <v>319</v>
      </c>
      <c r="C44" s="79" t="s">
        <v>320</v>
      </c>
      <c r="D44" s="79" t="s">
        <v>294</v>
      </c>
      <c r="E44" s="80" t="n">
        <v>1</v>
      </c>
      <c r="F44" s="79" t="s">
        <v>272</v>
      </c>
      <c r="G44" s="79" t="s">
        <v>307</v>
      </c>
      <c r="H44" s="79" t="s">
        <v>308</v>
      </c>
      <c r="I44" s="79" t="s">
        <v>273</v>
      </c>
      <c r="J44" s="84" t="n">
        <v>1</v>
      </c>
      <c r="K44" s="80" t="n">
        <v>0.4</v>
      </c>
      <c r="L44" s="68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</row>
    <row r="45" customFormat="false" ht="15" hidden="false" customHeight="false" outlineLevel="0" collapsed="false">
      <c r="A45" s="79"/>
      <c r="B45" s="79"/>
      <c r="C45" s="79"/>
      <c r="D45" s="79"/>
      <c r="E45" s="79"/>
      <c r="F45" s="79"/>
      <c r="G45" s="79" t="s">
        <v>310</v>
      </c>
      <c r="H45" s="79" t="s">
        <v>311</v>
      </c>
      <c r="I45" s="79"/>
      <c r="J45" s="79"/>
      <c r="K45" s="79"/>
      <c r="L45" s="68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</row>
    <row r="46" customFormat="false" ht="15" hidden="false" customHeight="false" outlineLevel="0" collapsed="false">
      <c r="A46" s="79" t="n">
        <v>2</v>
      </c>
      <c r="B46" s="79" t="s">
        <v>323</v>
      </c>
      <c r="C46" s="79" t="s">
        <v>324</v>
      </c>
      <c r="D46" s="79" t="s">
        <v>296</v>
      </c>
      <c r="E46" s="80" t="n">
        <v>1</v>
      </c>
      <c r="F46" s="79" t="s">
        <v>272</v>
      </c>
      <c r="G46" s="79" t="s">
        <v>325</v>
      </c>
      <c r="H46" s="79" t="s">
        <v>315</v>
      </c>
      <c r="I46" s="79" t="s">
        <v>273</v>
      </c>
      <c r="J46" s="81" t="n">
        <v>0.6954</v>
      </c>
      <c r="K46" s="80" t="n">
        <v>2.7816</v>
      </c>
      <c r="L46" s="68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</row>
    <row r="47" customFormat="false" ht="15" hidden="false" customHeight="false" outlineLevel="0" collapsed="false">
      <c r="A47" s="79" t="n">
        <v>2</v>
      </c>
      <c r="B47" s="79" t="s">
        <v>312</v>
      </c>
      <c r="C47" s="79" t="s">
        <v>313</v>
      </c>
      <c r="D47" s="79" t="s">
        <v>296</v>
      </c>
      <c r="E47" s="80" t="n">
        <v>1</v>
      </c>
      <c r="F47" s="79" t="s">
        <v>272</v>
      </c>
      <c r="G47" s="79" t="s">
        <v>314</v>
      </c>
      <c r="H47" s="79" t="s">
        <v>315</v>
      </c>
      <c r="I47" s="79" t="s">
        <v>273</v>
      </c>
      <c r="J47" s="81" t="n">
        <v>0.3046</v>
      </c>
      <c r="K47" s="80" t="n">
        <v>1.2184</v>
      </c>
      <c r="L47" s="68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</row>
    <row r="48" customFormat="false" ht="15" hidden="false" customHeight="false" outlineLevel="0" collapsed="false">
      <c r="A48" s="79" t="n">
        <v>2</v>
      </c>
      <c r="B48" s="79" t="s">
        <v>326</v>
      </c>
      <c r="C48" s="79" t="s">
        <v>327</v>
      </c>
      <c r="D48" s="79" t="s">
        <v>298</v>
      </c>
      <c r="E48" s="80" t="n">
        <v>1</v>
      </c>
      <c r="F48" s="79" t="s">
        <v>272</v>
      </c>
      <c r="G48" s="79" t="s">
        <v>314</v>
      </c>
      <c r="H48" s="79" t="s">
        <v>315</v>
      </c>
      <c r="I48" s="79" t="s">
        <v>273</v>
      </c>
      <c r="J48" s="81" t="n">
        <v>0.5941</v>
      </c>
      <c r="K48" s="80" t="n">
        <v>1.1882</v>
      </c>
      <c r="L48" s="68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</row>
    <row r="49" customFormat="false" ht="15" hidden="false" customHeight="false" outlineLevel="0" collapsed="false">
      <c r="A49" s="79" t="n">
        <v>2</v>
      </c>
      <c r="B49" s="79" t="s">
        <v>312</v>
      </c>
      <c r="C49" s="79" t="s">
        <v>313</v>
      </c>
      <c r="D49" s="79" t="s">
        <v>298</v>
      </c>
      <c r="E49" s="80" t="n">
        <v>1</v>
      </c>
      <c r="F49" s="79" t="s">
        <v>272</v>
      </c>
      <c r="G49" s="79" t="s">
        <v>314</v>
      </c>
      <c r="H49" s="79" t="s">
        <v>315</v>
      </c>
      <c r="I49" s="79" t="s">
        <v>273</v>
      </c>
      <c r="J49" s="81" t="n">
        <v>0.4059</v>
      </c>
      <c r="K49" s="80" t="n">
        <v>0.8118</v>
      </c>
      <c r="L49" s="68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</row>
    <row r="50" customFormat="false" ht="15" hidden="false" customHeight="false" outlineLevel="0" collapsed="false">
      <c r="A50" s="79" t="n">
        <v>2</v>
      </c>
      <c r="B50" s="79" t="s">
        <v>328</v>
      </c>
      <c r="C50" s="79" t="s">
        <v>329</v>
      </c>
      <c r="D50" s="79" t="s">
        <v>300</v>
      </c>
      <c r="E50" s="80" t="n">
        <v>1</v>
      </c>
      <c r="F50" s="79" t="s">
        <v>272</v>
      </c>
      <c r="G50" s="79" t="s">
        <v>330</v>
      </c>
      <c r="H50" s="79" t="s">
        <v>308</v>
      </c>
      <c r="I50" s="79" t="s">
        <v>273</v>
      </c>
      <c r="J50" s="81" t="n">
        <v>0.6982</v>
      </c>
      <c r="K50" s="80" t="n">
        <v>20.946</v>
      </c>
      <c r="L50" s="68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</row>
    <row r="51" customFormat="false" ht="15" hidden="false" customHeight="false" outlineLevel="0" collapsed="false">
      <c r="A51" s="79" t="n">
        <v>2</v>
      </c>
      <c r="B51" s="79" t="s">
        <v>319</v>
      </c>
      <c r="C51" s="79" t="s">
        <v>320</v>
      </c>
      <c r="D51" s="79" t="s">
        <v>300</v>
      </c>
      <c r="E51" s="80" t="n">
        <v>1</v>
      </c>
      <c r="F51" s="79" t="s">
        <v>272</v>
      </c>
      <c r="G51" s="79" t="s">
        <v>307</v>
      </c>
      <c r="H51" s="79" t="s">
        <v>308</v>
      </c>
      <c r="I51" s="79" t="s">
        <v>273</v>
      </c>
      <c r="J51" s="81" t="n">
        <v>0.3018</v>
      </c>
      <c r="K51" s="80" t="n">
        <v>9.054</v>
      </c>
      <c r="L51" s="68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</row>
    <row r="52" customFormat="false" ht="15" hidden="false" customHeight="false" outlineLevel="0" collapsed="false">
      <c r="A52" s="79"/>
      <c r="B52" s="79"/>
      <c r="C52" s="79"/>
      <c r="D52" s="79"/>
      <c r="E52" s="79"/>
      <c r="F52" s="79"/>
      <c r="G52" s="79" t="s">
        <v>310</v>
      </c>
      <c r="H52" s="79" t="s">
        <v>311</v>
      </c>
      <c r="I52" s="79"/>
      <c r="J52" s="79"/>
      <c r="K52" s="79"/>
      <c r="L52" s="68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</row>
    <row r="53" customFormat="false" ht="15" hidden="false" customHeight="false" outlineLevel="0" collapsed="false">
      <c r="A53" s="79" t="n">
        <v>2</v>
      </c>
      <c r="B53" s="79" t="s">
        <v>305</v>
      </c>
      <c r="C53" s="79" t="s">
        <v>306</v>
      </c>
      <c r="D53" s="79" t="s">
        <v>303</v>
      </c>
      <c r="E53" s="80" t="n">
        <v>1</v>
      </c>
      <c r="F53" s="79" t="s">
        <v>272</v>
      </c>
      <c r="G53" s="79" t="s">
        <v>307</v>
      </c>
      <c r="H53" s="79" t="s">
        <v>308</v>
      </c>
      <c r="I53" s="79" t="s">
        <v>273</v>
      </c>
      <c r="J53" s="84" t="n">
        <v>1</v>
      </c>
      <c r="K53" s="80" t="n">
        <v>6</v>
      </c>
      <c r="L53" s="68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</row>
    <row r="54" customFormat="false" ht="15" hidden="false" customHeight="false" outlineLevel="0" collapsed="false">
      <c r="A54" s="79"/>
      <c r="B54" s="79"/>
      <c r="C54" s="79"/>
      <c r="D54" s="79"/>
      <c r="E54" s="79"/>
      <c r="F54" s="79"/>
      <c r="G54" s="79" t="s">
        <v>309</v>
      </c>
      <c r="H54" s="79" t="s">
        <v>308</v>
      </c>
      <c r="I54" s="79"/>
      <c r="J54" s="79"/>
      <c r="K54" s="79"/>
      <c r="L54" s="68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</row>
    <row r="55" customFormat="false" ht="15" hidden="false" customHeight="false" outlineLevel="0" collapsed="false">
      <c r="A55" s="79"/>
      <c r="B55" s="79"/>
      <c r="C55" s="79"/>
      <c r="D55" s="79"/>
      <c r="E55" s="79"/>
      <c r="F55" s="79"/>
      <c r="G55" s="79" t="s">
        <v>310</v>
      </c>
      <c r="H55" s="79" t="s">
        <v>311</v>
      </c>
      <c r="I55" s="79"/>
      <c r="J55" s="79"/>
      <c r="K55" s="79"/>
      <c r="L55" s="68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</row>
    <row r="56" customFormat="false" ht="15" hidden="false" customHeight="false" outlineLevel="0" collapsed="false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</row>
    <row r="57" customFormat="false" ht="15" hidden="false" customHeight="false" outlineLevel="0" collapsed="false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</row>
    <row r="58" customFormat="false" ht="15" hidden="false" customHeight="false" outlineLevel="0" collapsed="false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</row>
    <row r="59" customFormat="false" ht="15" hidden="false" customHeight="false" outlineLevel="0" collapsed="false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</row>
    <row r="60" customFormat="false" ht="15" hidden="false" customHeight="false" outlineLevel="0" collapsed="false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</row>
    <row r="61" customFormat="false" ht="15" hidden="false" customHeight="false" outlineLevel="0" collapsed="false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</row>
    <row r="62" customFormat="false" ht="15" hidden="false" customHeight="false" outlineLevel="0" collapsed="false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</row>
    <row r="63" customFormat="false" ht="15" hidden="false" customHeight="false" outlineLevel="0" collapsed="false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</row>
    <row r="64" customFormat="false" ht="15" hidden="false" customHeight="false" outlineLevel="0" collapsed="false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</row>
    <row r="65" customFormat="false" ht="15" hidden="false" customHeight="false" outlineLevel="0" collapsed="false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</row>
    <row r="66" customFormat="false" ht="15" hidden="false" customHeight="false" outlineLevel="0" collapsed="false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</row>
    <row r="67" customFormat="false" ht="15" hidden="false" customHeight="false" outlineLevel="0" collapsed="false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</row>
    <row r="68" customFormat="false" ht="15" hidden="false" customHeight="false" outlineLevel="0" collapsed="false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</row>
    <row r="69" customFormat="false" ht="15" hidden="false" customHeight="false" outlineLevel="0" collapsed="false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</row>
    <row r="70" customFormat="false" ht="15" hidden="false" customHeight="false" outlineLevel="0" collapsed="false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</row>
    <row r="71" customFormat="false" ht="15" hidden="false" customHeight="false" outlineLevel="0" collapsed="false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</row>
    <row r="72" customFormat="false" ht="15" hidden="false" customHeight="false" outlineLevel="0" collapsed="false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</row>
    <row r="73" customFormat="false" ht="15" hidden="false" customHeight="false" outlineLevel="0" collapsed="false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</row>
    <row r="74" customFormat="false" ht="15" hidden="false" customHeight="false" outlineLevel="0" collapsed="false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</row>
    <row r="75" customFormat="false" ht="15" hidden="false" customHeight="false" outlineLevel="0" collapsed="false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</row>
    <row r="76" customFormat="false" ht="15" hidden="false" customHeight="false" outlineLevel="0" collapsed="false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</row>
    <row r="77" customFormat="false" ht="15" hidden="false" customHeight="false" outlineLevel="0" collapsed="false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</row>
    <row r="78" customFormat="false" ht="15" hidden="false" customHeight="false" outlineLevel="0" collapsed="false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</row>
    <row r="79" customFormat="false" ht="15" hidden="false" customHeight="false" outlineLevel="0" collapsed="false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</row>
    <row r="80" customFormat="false" ht="15" hidden="false" customHeight="false" outlineLevel="0" collapsed="false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</row>
    <row r="81" customFormat="false" ht="15" hidden="false" customHeight="false" outlineLevel="0" collapsed="false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</row>
    <row r="82" customFormat="false" ht="15" hidden="false" customHeight="false" outlineLevel="0" collapsed="false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</row>
    <row r="83" customFormat="false" ht="15" hidden="false" customHeight="false" outlineLevel="0" collapsed="false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</row>
    <row r="84" customFormat="false" ht="15" hidden="false" customHeight="false" outlineLevel="0" collapsed="false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</row>
    <row r="85" customFormat="false" ht="15" hidden="false" customHeight="false" outlineLevel="0" collapsed="false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</row>
    <row r="86" customFormat="false" ht="15" hidden="false" customHeight="false" outlineLevel="0" collapsed="false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</row>
    <row r="87" customFormat="false" ht="15" hidden="false" customHeight="false" outlineLevel="0" collapsed="false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</row>
    <row r="88" customFormat="false" ht="15" hidden="false" customHeight="false" outlineLevel="0" collapsed="false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</row>
    <row r="89" customFormat="false" ht="15" hidden="false" customHeight="false" outlineLevel="0" collapsed="false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</row>
    <row r="90" customFormat="false" ht="15" hidden="false" customHeight="false" outlineLevel="0" collapsed="false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</row>
    <row r="91" customFormat="false" ht="15" hidden="false" customHeight="false" outlineLevel="0" collapsed="false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</row>
    <row r="92" customFormat="false" ht="15" hidden="false" customHeight="false" outlineLevel="0" collapsed="false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</row>
    <row r="93" customFormat="false" ht="15" hidden="false" customHeight="false" outlineLevel="0" collapsed="false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</row>
    <row r="94" customFormat="false" ht="15" hidden="false" customHeight="false" outlineLevel="0" collapsed="false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</row>
    <row r="95" customFormat="false" ht="15" hidden="false" customHeight="false" outlineLevel="0" collapsed="false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</row>
    <row r="96" customFormat="false" ht="15" hidden="false" customHeight="false" outlineLevel="0" collapsed="false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</row>
    <row r="97" customFormat="false" ht="15" hidden="false" customHeight="false" outlineLevel="0" collapsed="false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</row>
    <row r="98" customFormat="false" ht="15" hidden="false" customHeight="false" outlineLevel="0" collapsed="false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</row>
    <row r="99" customFormat="false" ht="15" hidden="false" customHeight="false" outlineLevel="0" collapsed="false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</row>
    <row r="100" customFormat="false" ht="15" hidden="false" customHeight="false" outlineLevel="0" collapsed="false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</row>
    <row r="101" customFormat="false" ht="15" hidden="false" customHeight="false" outlineLevel="0" collapsed="false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</row>
    <row r="102" customFormat="false" ht="15" hidden="false" customHeight="false" outlineLevel="0" collapsed="false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</row>
    <row r="103" customFormat="false" ht="15" hidden="false" customHeight="false" outlineLevel="0" collapsed="false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</row>
    <row r="104" customFormat="false" ht="15" hidden="false" customHeight="false" outlineLevel="0" collapsed="false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</row>
    <row r="105" customFormat="false" ht="15" hidden="false" customHeight="false" outlineLevel="0" collapsed="false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</row>
    <row r="106" customFormat="false" ht="15" hidden="false" customHeight="false" outlineLevel="0" collapsed="false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</row>
    <row r="107" customFormat="false" ht="15" hidden="false" customHeight="false" outlineLevel="0" collapsed="false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</row>
    <row r="108" customFormat="false" ht="15" hidden="false" customHeight="false" outlineLevel="0" collapsed="false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</row>
    <row r="109" customFormat="false" ht="15" hidden="false" customHeight="false" outlineLevel="0" collapsed="false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</row>
    <row r="110" customFormat="false" ht="15" hidden="false" customHeight="false" outlineLevel="0" collapsed="false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</row>
    <row r="111" customFormat="false" ht="15" hidden="false" customHeight="false" outlineLevel="0" collapsed="false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</row>
    <row r="112" customFormat="false" ht="15" hidden="false" customHeight="false" outlineLevel="0" collapsed="false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</row>
    <row r="113" customFormat="false" ht="15" hidden="false" customHeight="false" outlineLevel="0" collapsed="false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</row>
    <row r="114" customFormat="false" ht="15" hidden="false" customHeight="false" outlineLevel="0" collapsed="false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</row>
    <row r="115" customFormat="false" ht="15" hidden="false" customHeight="false" outlineLevel="0" collapsed="false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</row>
    <row r="116" customFormat="false" ht="15" hidden="false" customHeight="false" outlineLevel="0" collapsed="false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</row>
    <row r="117" customFormat="false" ht="15" hidden="false" customHeight="false" outlineLevel="0" collapsed="false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</row>
    <row r="118" customFormat="false" ht="15" hidden="false" customHeight="false" outlineLevel="0" collapsed="false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</row>
    <row r="119" customFormat="false" ht="15" hidden="false" customHeight="false" outlineLevel="0" collapsed="false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</row>
    <row r="120" customFormat="false" ht="15" hidden="false" customHeight="false" outlineLevel="0" collapsed="false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</row>
    <row r="121" customFormat="false" ht="15" hidden="false" customHeight="false" outlineLevel="0" collapsed="false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</row>
    <row r="122" customFormat="false" ht="15" hidden="false" customHeight="false" outlineLevel="0" collapsed="false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</row>
    <row r="123" customFormat="false" ht="15" hidden="false" customHeight="false" outlineLevel="0" collapsed="false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</row>
    <row r="124" customFormat="false" ht="15" hidden="false" customHeight="false" outlineLevel="0" collapsed="false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</row>
    <row r="125" customFormat="false" ht="15" hidden="false" customHeight="false" outlineLevel="0" collapsed="false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</row>
    <row r="126" customFormat="false" ht="15" hidden="false" customHeight="false" outlineLevel="0" collapsed="false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</row>
    <row r="127" customFormat="false" ht="15" hidden="false" customHeight="false" outlineLevel="0" collapsed="false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</row>
    <row r="128" customFormat="false" ht="15" hidden="false" customHeight="false" outlineLevel="0" collapsed="false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</row>
    <row r="129" customFormat="false" ht="15" hidden="false" customHeight="false" outlineLevel="0" collapsed="false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</row>
    <row r="130" customFormat="false" ht="15" hidden="false" customHeight="false" outlineLevel="0" collapsed="false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</row>
    <row r="131" customFormat="false" ht="15" hidden="false" customHeight="false" outlineLevel="0" collapsed="false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</row>
    <row r="132" customFormat="false" ht="15" hidden="false" customHeight="false" outlineLevel="0" collapsed="false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</row>
    <row r="133" customFormat="false" ht="15" hidden="false" customHeight="false" outlineLevel="0" collapsed="false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</row>
    <row r="134" customFormat="false" ht="15" hidden="false" customHeight="false" outlineLevel="0" collapsed="false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</row>
    <row r="135" customFormat="false" ht="15" hidden="false" customHeight="false" outlineLevel="0" collapsed="false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</row>
    <row r="136" customFormat="false" ht="15" hidden="false" customHeight="false" outlineLevel="0" collapsed="false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</row>
    <row r="137" customFormat="false" ht="15" hidden="false" customHeight="false" outlineLevel="0" collapsed="false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</row>
    <row r="138" customFormat="false" ht="15" hidden="false" customHeight="false" outlineLevel="0" collapsed="false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</row>
    <row r="139" customFormat="false" ht="15" hidden="false" customHeight="false" outlineLevel="0" collapsed="false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</row>
    <row r="140" customFormat="false" ht="15" hidden="false" customHeight="false" outlineLevel="0" collapsed="false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</row>
    <row r="141" customFormat="false" ht="15" hidden="false" customHeight="false" outlineLevel="0" collapsed="false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</row>
    <row r="142" customFormat="false" ht="15" hidden="false" customHeight="false" outlineLevel="0" collapsed="false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</row>
    <row r="143" customFormat="false" ht="15" hidden="false" customHeight="false" outlineLevel="0" collapsed="false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</row>
    <row r="144" customFormat="false" ht="15" hidden="false" customHeight="false" outlineLevel="0" collapsed="false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</row>
    <row r="145" customFormat="false" ht="15" hidden="false" customHeight="false" outlineLevel="0" collapsed="false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</row>
    <row r="146" customFormat="false" ht="15" hidden="false" customHeight="false" outlineLevel="0" collapsed="false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</row>
    <row r="147" customFormat="false" ht="15" hidden="false" customHeight="false" outlineLevel="0" collapsed="false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</row>
    <row r="148" customFormat="false" ht="15" hidden="false" customHeight="false" outlineLevel="0" collapsed="false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</row>
    <row r="149" customFormat="false" ht="15" hidden="false" customHeight="false" outlineLevel="0" collapsed="false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</row>
    <row r="150" customFormat="false" ht="15" hidden="false" customHeight="false" outlineLevel="0" collapsed="false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</row>
    <row r="151" customFormat="false" ht="15" hidden="false" customHeight="false" outlineLevel="0" collapsed="false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</row>
    <row r="152" customFormat="false" ht="15" hidden="false" customHeight="false" outlineLevel="0" collapsed="false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</row>
    <row r="153" customFormat="false" ht="15" hidden="false" customHeight="false" outlineLevel="0" collapsed="false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</row>
    <row r="154" customFormat="false" ht="15" hidden="false" customHeight="false" outlineLevel="0" collapsed="false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</row>
    <row r="155" customFormat="false" ht="15" hidden="false" customHeight="false" outlineLevel="0" collapsed="false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</row>
    <row r="156" customFormat="false" ht="15" hidden="false" customHeight="false" outlineLevel="0" collapsed="false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</row>
    <row r="157" customFormat="false" ht="15" hidden="false" customHeight="false" outlineLevel="0" collapsed="false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</row>
    <row r="158" customFormat="false" ht="15" hidden="false" customHeight="false" outlineLevel="0" collapsed="false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</row>
    <row r="159" customFormat="false" ht="15" hidden="false" customHeight="false" outlineLevel="0" collapsed="false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</row>
    <row r="160" customFormat="false" ht="15" hidden="false" customHeight="false" outlineLevel="0" collapsed="false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</row>
    <row r="161" customFormat="false" ht="15" hidden="false" customHeight="false" outlineLevel="0" collapsed="false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</row>
    <row r="162" customFormat="false" ht="15" hidden="false" customHeight="false" outlineLevel="0" collapsed="false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</row>
    <row r="163" customFormat="false" ht="15" hidden="false" customHeight="false" outlineLevel="0" collapsed="false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</row>
    <row r="164" customFormat="false" ht="15" hidden="false" customHeight="false" outlineLevel="0" collapsed="false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</row>
    <row r="165" customFormat="false" ht="15" hidden="false" customHeight="false" outlineLevel="0" collapsed="false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</row>
    <row r="166" customFormat="false" ht="15" hidden="false" customHeight="false" outlineLevel="0" collapsed="false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</row>
    <row r="167" customFormat="false" ht="15" hidden="false" customHeight="false" outlineLevel="0" collapsed="false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</row>
    <row r="168" customFormat="false" ht="15" hidden="false" customHeight="false" outlineLevel="0" collapsed="false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</row>
    <row r="169" customFormat="false" ht="15" hidden="false" customHeight="false" outlineLevel="0" collapsed="false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</row>
    <row r="170" customFormat="false" ht="15" hidden="false" customHeight="false" outlineLevel="0" collapsed="false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</row>
    <row r="171" customFormat="false" ht="15" hidden="false" customHeight="false" outlineLevel="0" collapsed="false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</row>
    <row r="172" customFormat="false" ht="15" hidden="false" customHeight="false" outlineLevel="0" collapsed="false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</row>
    <row r="173" customFormat="false" ht="15" hidden="false" customHeight="false" outlineLevel="0" collapsed="false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</row>
    <row r="174" customFormat="false" ht="15" hidden="false" customHeight="false" outlineLevel="0" collapsed="false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</row>
    <row r="175" customFormat="false" ht="15" hidden="false" customHeight="false" outlineLevel="0" collapsed="false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</row>
    <row r="176" customFormat="false" ht="15" hidden="false" customHeight="false" outlineLevel="0" collapsed="false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</row>
    <row r="177" customFormat="false" ht="15" hidden="false" customHeight="false" outlineLevel="0" collapsed="false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</row>
    <row r="178" customFormat="false" ht="15" hidden="false" customHeight="false" outlineLevel="0" collapsed="false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</row>
    <row r="179" customFormat="false" ht="15" hidden="false" customHeight="false" outlineLevel="0" collapsed="false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</row>
    <row r="180" customFormat="false" ht="15" hidden="false" customHeight="false" outlineLevel="0" collapsed="false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</row>
    <row r="181" customFormat="false" ht="15" hidden="false" customHeight="false" outlineLevel="0" collapsed="false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</row>
    <row r="182" customFormat="false" ht="15" hidden="false" customHeight="false" outlineLevel="0" collapsed="false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</row>
    <row r="183" customFormat="false" ht="15" hidden="false" customHeight="false" outlineLevel="0" collapsed="false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</row>
    <row r="184" customFormat="false" ht="15" hidden="false" customHeight="false" outlineLevel="0" collapsed="false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</row>
    <row r="185" customFormat="false" ht="15" hidden="false" customHeight="false" outlineLevel="0" collapsed="false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</row>
    <row r="186" customFormat="false" ht="15" hidden="false" customHeight="false" outlineLevel="0" collapsed="false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</row>
    <row r="187" customFormat="false" ht="15" hidden="false" customHeight="false" outlineLevel="0" collapsed="false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</row>
    <row r="188" customFormat="false" ht="15" hidden="false" customHeight="false" outlineLevel="0" collapsed="false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</row>
    <row r="189" customFormat="false" ht="15" hidden="false" customHeight="false" outlineLevel="0" collapsed="false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</row>
    <row r="190" customFormat="false" ht="15" hidden="false" customHeight="false" outlineLevel="0" collapsed="false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</row>
    <row r="191" customFormat="false" ht="15" hidden="false" customHeight="false" outlineLevel="0" collapsed="false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</row>
    <row r="192" customFormat="false" ht="15" hidden="false" customHeight="false" outlineLevel="0" collapsed="false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</row>
    <row r="193" customFormat="false" ht="15" hidden="false" customHeight="false" outlineLevel="0" collapsed="false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</row>
    <row r="194" customFormat="false" ht="15" hidden="false" customHeight="false" outlineLevel="0" collapsed="false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</row>
    <row r="195" customFormat="false" ht="15" hidden="false" customHeight="false" outlineLevel="0" collapsed="false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</row>
    <row r="196" customFormat="false" ht="15" hidden="false" customHeight="false" outlineLevel="0" collapsed="false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</row>
    <row r="197" customFormat="false" ht="15" hidden="false" customHeight="false" outlineLevel="0" collapsed="false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</row>
    <row r="198" customFormat="false" ht="15" hidden="false" customHeight="false" outlineLevel="0" collapsed="false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</row>
    <row r="199" customFormat="false" ht="15" hidden="false" customHeight="false" outlineLevel="0" collapsed="false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</row>
    <row r="200" customFormat="false" ht="15" hidden="false" customHeight="false" outlineLevel="0" collapsed="false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</row>
    <row r="201" customFormat="false" ht="15" hidden="false" customHeight="false" outlineLevel="0" collapsed="false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</row>
    <row r="202" customFormat="false" ht="15" hidden="false" customHeight="false" outlineLevel="0" collapsed="false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</row>
    <row r="203" customFormat="false" ht="15" hidden="false" customHeight="false" outlineLevel="0" collapsed="false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</row>
    <row r="204" customFormat="false" ht="15" hidden="false" customHeight="false" outlineLevel="0" collapsed="false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</row>
    <row r="205" customFormat="false" ht="15" hidden="false" customHeight="false" outlineLevel="0" collapsed="false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</row>
    <row r="206" customFormat="false" ht="15" hidden="false" customHeight="false" outlineLevel="0" collapsed="false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</row>
    <row r="207" customFormat="false" ht="15" hidden="false" customHeight="false" outlineLevel="0" collapsed="false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</row>
    <row r="208" customFormat="false" ht="15" hidden="false" customHeight="false" outlineLevel="0" collapsed="false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</row>
    <row r="209" customFormat="false" ht="15" hidden="false" customHeight="false" outlineLevel="0" collapsed="false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</row>
    <row r="210" customFormat="false" ht="15" hidden="false" customHeight="false" outlineLevel="0" collapsed="false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</row>
    <row r="211" customFormat="false" ht="15" hidden="false" customHeight="false" outlineLevel="0" collapsed="false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</row>
    <row r="212" customFormat="false" ht="15" hidden="false" customHeight="false" outlineLevel="0" collapsed="false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</row>
    <row r="213" customFormat="false" ht="15" hidden="false" customHeight="false" outlineLevel="0" collapsed="false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</row>
    <row r="214" customFormat="false" ht="15" hidden="false" customHeight="false" outlineLevel="0" collapsed="false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</row>
    <row r="215" customFormat="false" ht="15" hidden="false" customHeight="false" outlineLevel="0" collapsed="false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</row>
    <row r="216" customFormat="false" ht="15" hidden="false" customHeight="false" outlineLevel="0" collapsed="false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</row>
    <row r="217" customFormat="false" ht="15" hidden="false" customHeight="false" outlineLevel="0" collapsed="false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</row>
    <row r="218" customFormat="false" ht="15" hidden="false" customHeight="false" outlineLevel="0" collapsed="false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</row>
    <row r="219" customFormat="false" ht="15" hidden="false" customHeight="false" outlineLevel="0" collapsed="false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</row>
    <row r="220" customFormat="false" ht="15" hidden="false" customHeight="false" outlineLevel="0" collapsed="false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</row>
    <row r="221" customFormat="false" ht="15" hidden="false" customHeight="false" outlineLevel="0" collapsed="false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</row>
    <row r="222" customFormat="false" ht="15" hidden="false" customHeight="false" outlineLevel="0" collapsed="false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</row>
    <row r="223" customFormat="false" ht="15" hidden="false" customHeight="false" outlineLevel="0" collapsed="false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</row>
    <row r="224" customFormat="false" ht="15" hidden="false" customHeight="false" outlineLevel="0" collapsed="false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</row>
    <row r="225" customFormat="false" ht="15" hidden="false" customHeight="false" outlineLevel="0" collapsed="false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</row>
    <row r="226" customFormat="false" ht="15" hidden="false" customHeight="false" outlineLevel="0" collapsed="false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</row>
    <row r="227" customFormat="false" ht="15" hidden="false" customHeight="false" outlineLevel="0" collapsed="false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</row>
    <row r="228" customFormat="false" ht="15" hidden="false" customHeight="false" outlineLevel="0" collapsed="false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</row>
    <row r="229" customFormat="false" ht="15" hidden="false" customHeight="false" outlineLevel="0" collapsed="false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</row>
    <row r="230" customFormat="false" ht="15" hidden="false" customHeight="false" outlineLevel="0" collapsed="false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</row>
    <row r="231" customFormat="false" ht="15" hidden="false" customHeight="false" outlineLevel="0" collapsed="false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</row>
    <row r="232" customFormat="false" ht="15" hidden="false" customHeight="false" outlineLevel="0" collapsed="false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</row>
    <row r="233" customFormat="false" ht="15" hidden="false" customHeight="false" outlineLevel="0" collapsed="false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</row>
    <row r="234" customFormat="false" ht="15" hidden="false" customHeight="false" outlineLevel="0" collapsed="false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</row>
    <row r="235" customFormat="false" ht="15" hidden="false" customHeight="false" outlineLevel="0" collapsed="false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</row>
    <row r="236" customFormat="false" ht="15" hidden="false" customHeight="false" outlineLevel="0" collapsed="false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</row>
    <row r="237" customFormat="false" ht="15" hidden="false" customHeight="false" outlineLevel="0" collapsed="false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</row>
    <row r="238" customFormat="false" ht="15" hidden="false" customHeight="false" outlineLevel="0" collapsed="false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</row>
    <row r="239" customFormat="false" ht="15" hidden="false" customHeight="false" outlineLevel="0" collapsed="false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</row>
    <row r="240" customFormat="false" ht="15" hidden="false" customHeight="false" outlineLevel="0" collapsed="false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</row>
    <row r="241" customFormat="false" ht="15" hidden="false" customHeight="false" outlineLevel="0" collapsed="false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</row>
    <row r="242" customFormat="false" ht="15" hidden="false" customHeight="false" outlineLevel="0" collapsed="false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</row>
    <row r="243" customFormat="false" ht="15" hidden="false" customHeight="false" outlineLevel="0" collapsed="false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</row>
    <row r="244" customFormat="false" ht="15" hidden="false" customHeight="false" outlineLevel="0" collapsed="false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</row>
    <row r="245" customFormat="false" ht="15" hidden="false" customHeight="false" outlineLevel="0" collapsed="false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</row>
    <row r="246" customFormat="false" ht="15" hidden="false" customHeight="false" outlineLevel="0" collapsed="false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</row>
    <row r="247" customFormat="false" ht="15" hidden="false" customHeight="false" outlineLevel="0" collapsed="false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</row>
    <row r="248" customFormat="false" ht="15" hidden="false" customHeight="false" outlineLevel="0" collapsed="false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</row>
    <row r="249" customFormat="false" ht="15" hidden="false" customHeight="false" outlineLevel="0" collapsed="false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</row>
    <row r="250" customFormat="false" ht="15" hidden="false" customHeight="false" outlineLevel="0" collapsed="false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</row>
    <row r="251" customFormat="false" ht="15" hidden="false" customHeight="false" outlineLevel="0" collapsed="false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</row>
    <row r="252" customFormat="false" ht="15" hidden="false" customHeight="false" outlineLevel="0" collapsed="false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</row>
    <row r="253" customFormat="false" ht="15" hidden="false" customHeight="false" outlineLevel="0" collapsed="false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</row>
    <row r="254" customFormat="false" ht="15" hidden="false" customHeight="false" outlineLevel="0" collapsed="false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</row>
    <row r="255" customFormat="false" ht="15" hidden="false" customHeight="false" outlineLevel="0" collapsed="false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</row>
    <row r="256" customFormat="false" ht="15" hidden="false" customHeight="false" outlineLevel="0" collapsed="false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</row>
    <row r="257" customFormat="false" ht="15" hidden="false" customHeight="false" outlineLevel="0" collapsed="false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</row>
    <row r="258" customFormat="false" ht="15" hidden="false" customHeight="false" outlineLevel="0" collapsed="false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</row>
    <row r="259" customFormat="false" ht="15" hidden="false" customHeight="false" outlineLevel="0" collapsed="false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</row>
    <row r="260" customFormat="false" ht="15" hidden="false" customHeight="false" outlineLevel="0" collapsed="false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</row>
    <row r="261" customFormat="false" ht="15" hidden="false" customHeight="false" outlineLevel="0" collapsed="false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</row>
    <row r="262" customFormat="false" ht="15" hidden="false" customHeight="false" outlineLevel="0" collapsed="false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</row>
    <row r="263" customFormat="false" ht="15" hidden="false" customHeight="false" outlineLevel="0" collapsed="false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</row>
    <row r="264" customFormat="false" ht="15" hidden="false" customHeight="false" outlineLevel="0" collapsed="false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</row>
    <row r="265" customFormat="false" ht="15" hidden="false" customHeight="false" outlineLevel="0" collapsed="false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</row>
    <row r="266" customFormat="false" ht="15" hidden="false" customHeight="false" outlineLevel="0" collapsed="false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</row>
    <row r="267" customFormat="false" ht="15" hidden="false" customHeight="false" outlineLevel="0" collapsed="false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</row>
    <row r="268" customFormat="false" ht="15" hidden="false" customHeight="false" outlineLevel="0" collapsed="false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</row>
    <row r="269" customFormat="false" ht="15" hidden="false" customHeight="false" outlineLevel="0" collapsed="false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</row>
    <row r="270" customFormat="false" ht="15" hidden="false" customHeight="false" outlineLevel="0" collapsed="false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</row>
    <row r="271" customFormat="false" ht="15" hidden="false" customHeight="false" outlineLevel="0" collapsed="false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</row>
    <row r="272" customFormat="false" ht="15" hidden="false" customHeight="false" outlineLevel="0" collapsed="false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</row>
    <row r="273" customFormat="false" ht="15" hidden="false" customHeight="false" outlineLevel="0" collapsed="false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</row>
    <row r="274" customFormat="false" ht="15" hidden="false" customHeight="false" outlineLevel="0" collapsed="false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</row>
    <row r="275" customFormat="false" ht="15" hidden="false" customHeight="false" outlineLevel="0" collapsed="false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</row>
    <row r="276" customFormat="false" ht="15" hidden="false" customHeight="false" outlineLevel="0" collapsed="false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</row>
    <row r="277" customFormat="false" ht="15" hidden="false" customHeight="false" outlineLevel="0" collapsed="false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</row>
    <row r="278" customFormat="false" ht="15" hidden="false" customHeight="false" outlineLevel="0" collapsed="false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</row>
    <row r="279" customFormat="false" ht="15" hidden="false" customHeight="false" outlineLevel="0" collapsed="false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</row>
    <row r="280" customFormat="false" ht="15" hidden="false" customHeight="false" outlineLevel="0" collapsed="false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</row>
    <row r="281" customFormat="false" ht="15" hidden="false" customHeight="false" outlineLevel="0" collapsed="false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</row>
    <row r="282" customFormat="false" ht="15" hidden="false" customHeight="false" outlineLevel="0" collapsed="false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</row>
    <row r="283" customFormat="false" ht="15" hidden="false" customHeight="false" outlineLevel="0" collapsed="false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</row>
    <row r="284" customFormat="false" ht="15" hidden="false" customHeight="false" outlineLevel="0" collapsed="false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</row>
    <row r="285" customFormat="false" ht="15" hidden="false" customHeight="false" outlineLevel="0" collapsed="false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</row>
    <row r="286" customFormat="false" ht="15" hidden="false" customHeight="false" outlineLevel="0" collapsed="false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</row>
    <row r="287" customFormat="false" ht="15" hidden="false" customHeight="false" outlineLevel="0" collapsed="false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</row>
    <row r="288" customFormat="false" ht="15" hidden="false" customHeight="false" outlineLevel="0" collapsed="false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</row>
    <row r="289" customFormat="false" ht="15" hidden="false" customHeight="false" outlineLevel="0" collapsed="false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</row>
    <row r="290" customFormat="false" ht="15" hidden="false" customHeight="false" outlineLevel="0" collapsed="false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</row>
    <row r="291" customFormat="false" ht="15" hidden="false" customHeight="false" outlineLevel="0" collapsed="false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</row>
    <row r="292" customFormat="false" ht="15" hidden="false" customHeight="false" outlineLevel="0" collapsed="false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</row>
    <row r="293" customFormat="false" ht="15" hidden="false" customHeight="false" outlineLevel="0" collapsed="false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</row>
    <row r="294" customFormat="false" ht="15" hidden="false" customHeight="false" outlineLevel="0" collapsed="false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</row>
    <row r="295" customFormat="false" ht="15" hidden="false" customHeight="false" outlineLevel="0" collapsed="false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</row>
    <row r="296" customFormat="false" ht="15" hidden="false" customHeight="false" outlineLevel="0" collapsed="false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</row>
    <row r="297" customFormat="false" ht="15" hidden="false" customHeight="false" outlineLevel="0" collapsed="false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</row>
    <row r="298" customFormat="false" ht="15" hidden="false" customHeight="false" outlineLevel="0" collapsed="false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</row>
    <row r="299" customFormat="false" ht="15" hidden="false" customHeight="false" outlineLevel="0" collapsed="false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</row>
    <row r="300" customFormat="false" ht="15" hidden="false" customHeight="false" outlineLevel="0" collapsed="false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</row>
    <row r="301" customFormat="false" ht="15" hidden="false" customHeight="false" outlineLevel="0" collapsed="false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</row>
    <row r="302" customFormat="false" ht="15" hidden="false" customHeight="false" outlineLevel="0" collapsed="false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</row>
    <row r="303" customFormat="false" ht="15" hidden="false" customHeight="false" outlineLevel="0" collapsed="false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</row>
    <row r="304" customFormat="false" ht="15" hidden="false" customHeight="false" outlineLevel="0" collapsed="false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</row>
    <row r="305" customFormat="false" ht="15" hidden="false" customHeight="false" outlineLevel="0" collapsed="false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</row>
    <row r="306" customFormat="false" ht="15" hidden="false" customHeight="false" outlineLevel="0" collapsed="false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</row>
    <row r="307" customFormat="false" ht="15" hidden="false" customHeight="false" outlineLevel="0" collapsed="false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</row>
    <row r="308" customFormat="false" ht="15" hidden="false" customHeight="false" outlineLevel="0" collapsed="false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</row>
    <row r="309" customFormat="false" ht="15" hidden="false" customHeight="false" outlineLevel="0" collapsed="false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</row>
    <row r="310" customFormat="false" ht="15" hidden="false" customHeight="false" outlineLevel="0" collapsed="false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</row>
    <row r="311" customFormat="false" ht="15" hidden="false" customHeight="false" outlineLevel="0" collapsed="false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</row>
    <row r="312" customFormat="false" ht="15" hidden="false" customHeight="false" outlineLevel="0" collapsed="false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</row>
    <row r="313" customFormat="false" ht="15" hidden="false" customHeight="false" outlineLevel="0" collapsed="false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</row>
    <row r="314" customFormat="false" ht="15" hidden="false" customHeight="false" outlineLevel="0" collapsed="false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</row>
    <row r="315" customFormat="false" ht="15" hidden="false" customHeight="false" outlineLevel="0" collapsed="false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</row>
    <row r="316" customFormat="false" ht="15" hidden="false" customHeight="false" outlineLevel="0" collapsed="false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</row>
    <row r="317" customFormat="false" ht="15" hidden="false" customHeight="false" outlineLevel="0" collapsed="false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</row>
    <row r="318" customFormat="false" ht="15" hidden="false" customHeight="false" outlineLevel="0" collapsed="false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</row>
    <row r="319" customFormat="false" ht="15" hidden="false" customHeight="false" outlineLevel="0" collapsed="false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</row>
    <row r="320" customFormat="false" ht="15" hidden="false" customHeight="false" outlineLevel="0" collapsed="false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</row>
    <row r="321" customFormat="false" ht="15" hidden="false" customHeight="false" outlineLevel="0" collapsed="false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</row>
    <row r="322" customFormat="false" ht="15" hidden="false" customHeight="false" outlineLevel="0" collapsed="false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</row>
    <row r="323" customFormat="false" ht="15" hidden="false" customHeight="false" outlineLevel="0" collapsed="false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</row>
    <row r="324" customFormat="false" ht="15" hidden="false" customHeight="false" outlineLevel="0" collapsed="false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</row>
    <row r="325" customFormat="false" ht="15" hidden="false" customHeight="false" outlineLevel="0" collapsed="false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</row>
    <row r="326" customFormat="false" ht="15" hidden="false" customHeight="false" outlineLevel="0" collapsed="false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</row>
    <row r="327" customFormat="false" ht="15" hidden="false" customHeight="false" outlineLevel="0" collapsed="false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</row>
    <row r="328" customFormat="false" ht="15" hidden="false" customHeight="false" outlineLevel="0" collapsed="false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</row>
    <row r="329" customFormat="false" ht="15" hidden="false" customHeight="false" outlineLevel="0" collapsed="false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</row>
    <row r="330" customFormat="false" ht="15" hidden="false" customHeight="false" outlineLevel="0" collapsed="false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</row>
    <row r="331" customFormat="false" ht="15" hidden="false" customHeight="false" outlineLevel="0" collapsed="false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</row>
    <row r="332" customFormat="false" ht="15" hidden="false" customHeight="false" outlineLevel="0" collapsed="false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</row>
    <row r="333" customFormat="false" ht="15" hidden="false" customHeight="false" outlineLevel="0" collapsed="false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</row>
    <row r="334" customFormat="false" ht="15" hidden="false" customHeight="false" outlineLevel="0" collapsed="false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</row>
    <row r="335" customFormat="false" ht="15" hidden="false" customHeight="false" outlineLevel="0" collapsed="false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</row>
    <row r="336" customFormat="false" ht="15" hidden="false" customHeight="false" outlineLevel="0" collapsed="false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</row>
    <row r="337" customFormat="false" ht="15" hidden="false" customHeight="false" outlineLevel="0" collapsed="false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</row>
    <row r="338" customFormat="false" ht="15" hidden="false" customHeight="false" outlineLevel="0" collapsed="false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</row>
    <row r="339" customFormat="false" ht="15" hidden="false" customHeight="false" outlineLevel="0" collapsed="false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</row>
    <row r="340" customFormat="false" ht="15" hidden="false" customHeight="false" outlineLevel="0" collapsed="false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</row>
    <row r="341" customFormat="false" ht="15" hidden="false" customHeight="false" outlineLevel="0" collapsed="false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</row>
    <row r="342" customFormat="false" ht="15" hidden="false" customHeight="false" outlineLevel="0" collapsed="false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</row>
    <row r="343" customFormat="false" ht="15" hidden="false" customHeight="false" outlineLevel="0" collapsed="false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</row>
    <row r="344" customFormat="false" ht="15" hidden="false" customHeight="false" outlineLevel="0" collapsed="false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</row>
    <row r="345" customFormat="false" ht="15" hidden="false" customHeight="false" outlineLevel="0" collapsed="false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</row>
    <row r="346" customFormat="false" ht="15" hidden="false" customHeight="false" outlineLevel="0" collapsed="false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</row>
    <row r="347" customFormat="false" ht="15" hidden="false" customHeight="false" outlineLevel="0" collapsed="false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</row>
    <row r="348" customFormat="false" ht="15" hidden="false" customHeight="false" outlineLevel="0" collapsed="false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</row>
    <row r="349" customFormat="false" ht="15" hidden="false" customHeight="false" outlineLevel="0" collapsed="false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</row>
    <row r="350" customFormat="false" ht="15" hidden="false" customHeight="false" outlineLevel="0" collapsed="false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</row>
    <row r="351" customFormat="false" ht="15" hidden="false" customHeight="false" outlineLevel="0" collapsed="false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</row>
    <row r="352" customFormat="false" ht="15" hidden="false" customHeight="false" outlineLevel="0" collapsed="false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</row>
    <row r="353" customFormat="false" ht="15" hidden="false" customHeight="false" outlineLevel="0" collapsed="false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</row>
    <row r="354" customFormat="false" ht="15" hidden="false" customHeight="false" outlineLevel="0" collapsed="false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</row>
    <row r="355" customFormat="false" ht="15" hidden="false" customHeight="false" outlineLevel="0" collapsed="false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</row>
    <row r="356" customFormat="false" ht="15" hidden="false" customHeight="false" outlineLevel="0" collapsed="false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</row>
    <row r="357" customFormat="false" ht="15" hidden="false" customHeight="false" outlineLevel="0" collapsed="false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</row>
    <row r="358" customFormat="false" ht="15" hidden="false" customHeight="false" outlineLevel="0" collapsed="false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</row>
    <row r="359" customFormat="false" ht="15" hidden="false" customHeight="false" outlineLevel="0" collapsed="false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</row>
    <row r="360" customFormat="false" ht="15" hidden="false" customHeight="false" outlineLevel="0" collapsed="false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</row>
    <row r="361" customFormat="false" ht="15" hidden="false" customHeight="false" outlineLevel="0" collapsed="false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</row>
    <row r="362" customFormat="false" ht="15" hidden="false" customHeight="false" outlineLevel="0" collapsed="false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</row>
    <row r="363" customFormat="false" ht="15" hidden="false" customHeight="false" outlineLevel="0" collapsed="false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</row>
    <row r="364" customFormat="false" ht="15" hidden="false" customHeight="false" outlineLevel="0" collapsed="false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</row>
    <row r="365" customFormat="false" ht="15" hidden="false" customHeight="false" outlineLevel="0" collapsed="false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</row>
    <row r="366" customFormat="false" ht="15" hidden="false" customHeight="false" outlineLevel="0" collapsed="false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</row>
    <row r="367" customFormat="false" ht="15" hidden="false" customHeight="false" outlineLevel="0" collapsed="false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</row>
    <row r="368" customFormat="false" ht="15" hidden="false" customHeight="false" outlineLevel="0" collapsed="false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</row>
    <row r="369" customFormat="false" ht="15" hidden="false" customHeight="false" outlineLevel="0" collapsed="false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</row>
    <row r="370" customFormat="false" ht="15" hidden="false" customHeight="false" outlineLevel="0" collapsed="false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</row>
    <row r="371" customFormat="false" ht="15" hidden="false" customHeight="false" outlineLevel="0" collapsed="false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</row>
    <row r="372" customFormat="false" ht="15" hidden="false" customHeight="false" outlineLevel="0" collapsed="false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</row>
    <row r="373" customFormat="false" ht="15" hidden="false" customHeight="false" outlineLevel="0" collapsed="false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</row>
    <row r="374" customFormat="false" ht="15" hidden="false" customHeight="false" outlineLevel="0" collapsed="false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</row>
    <row r="375" customFormat="false" ht="15" hidden="false" customHeight="false" outlineLevel="0" collapsed="false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</row>
    <row r="376" customFormat="false" ht="15" hidden="false" customHeight="false" outlineLevel="0" collapsed="false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</row>
    <row r="377" customFormat="false" ht="15" hidden="false" customHeight="false" outlineLevel="0" collapsed="false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</row>
    <row r="378" customFormat="false" ht="15" hidden="false" customHeight="false" outlineLevel="0" collapsed="false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</row>
    <row r="379" customFormat="false" ht="15" hidden="false" customHeight="false" outlineLevel="0" collapsed="false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</row>
    <row r="380" customFormat="false" ht="15" hidden="false" customHeight="false" outlineLevel="0" collapsed="false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</row>
    <row r="381" customFormat="false" ht="15" hidden="false" customHeight="false" outlineLevel="0" collapsed="false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</row>
    <row r="382" customFormat="false" ht="15" hidden="false" customHeight="false" outlineLevel="0" collapsed="false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</row>
    <row r="383" customFormat="false" ht="15" hidden="false" customHeight="false" outlineLevel="0" collapsed="false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</row>
    <row r="384" customFormat="false" ht="15" hidden="false" customHeight="false" outlineLevel="0" collapsed="false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</row>
    <row r="385" customFormat="false" ht="15" hidden="false" customHeight="false" outlineLevel="0" collapsed="false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</row>
    <row r="386" customFormat="false" ht="15" hidden="false" customHeight="false" outlineLevel="0" collapsed="false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</row>
    <row r="387" customFormat="false" ht="15" hidden="false" customHeight="false" outlineLevel="0" collapsed="false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</row>
    <row r="388" customFormat="false" ht="15" hidden="false" customHeight="false" outlineLevel="0" collapsed="false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</row>
    <row r="389" customFormat="false" ht="15" hidden="false" customHeight="false" outlineLevel="0" collapsed="false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</row>
    <row r="390" customFormat="false" ht="15" hidden="false" customHeight="false" outlineLevel="0" collapsed="false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</row>
    <row r="391" customFormat="false" ht="15" hidden="false" customHeight="false" outlineLevel="0" collapsed="false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</row>
    <row r="392" customFormat="false" ht="15" hidden="false" customHeight="false" outlineLevel="0" collapsed="false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</row>
    <row r="393" customFormat="false" ht="15" hidden="false" customHeight="false" outlineLevel="0" collapsed="false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</row>
    <row r="394" customFormat="false" ht="15" hidden="false" customHeight="false" outlineLevel="0" collapsed="false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</row>
    <row r="395" customFormat="false" ht="15" hidden="false" customHeight="false" outlineLevel="0" collapsed="false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</row>
    <row r="396" customFormat="false" ht="15" hidden="false" customHeight="false" outlineLevel="0" collapsed="false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</row>
    <row r="397" customFormat="false" ht="15" hidden="false" customHeight="false" outlineLevel="0" collapsed="false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</row>
    <row r="398" customFormat="false" ht="15" hidden="false" customHeight="false" outlineLevel="0" collapsed="false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</row>
    <row r="399" customFormat="false" ht="15" hidden="false" customHeight="false" outlineLevel="0" collapsed="false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</row>
    <row r="400" customFormat="false" ht="15" hidden="false" customHeight="false" outlineLevel="0" collapsed="false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</row>
    <row r="401" customFormat="false" ht="15" hidden="false" customHeight="false" outlineLevel="0" collapsed="false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</row>
    <row r="402" customFormat="false" ht="15" hidden="false" customHeight="false" outlineLevel="0" collapsed="false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</row>
    <row r="403" customFormat="false" ht="15" hidden="false" customHeight="false" outlineLevel="0" collapsed="false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</row>
    <row r="404" customFormat="false" ht="15" hidden="false" customHeight="false" outlineLevel="0" collapsed="false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</row>
    <row r="405" customFormat="false" ht="15" hidden="false" customHeight="false" outlineLevel="0" collapsed="false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</row>
    <row r="406" customFormat="false" ht="15" hidden="false" customHeight="false" outlineLevel="0" collapsed="false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</row>
    <row r="407" customFormat="false" ht="15" hidden="false" customHeight="false" outlineLevel="0" collapsed="false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</row>
    <row r="408" customFormat="false" ht="15" hidden="false" customHeight="false" outlineLevel="0" collapsed="false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</row>
    <row r="409" customFormat="false" ht="15" hidden="false" customHeight="false" outlineLevel="0" collapsed="false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</row>
    <row r="410" customFormat="false" ht="15" hidden="false" customHeight="false" outlineLevel="0" collapsed="false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</row>
    <row r="411" customFormat="false" ht="15" hidden="false" customHeight="false" outlineLevel="0" collapsed="false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</row>
    <row r="412" customFormat="false" ht="15" hidden="false" customHeight="false" outlineLevel="0" collapsed="false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</row>
    <row r="413" customFormat="false" ht="15" hidden="false" customHeight="false" outlineLevel="0" collapsed="false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</row>
    <row r="414" customFormat="false" ht="15" hidden="false" customHeight="false" outlineLevel="0" collapsed="false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</row>
    <row r="415" customFormat="false" ht="15" hidden="false" customHeight="false" outlineLevel="0" collapsed="false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</row>
    <row r="416" customFormat="false" ht="15" hidden="false" customHeight="false" outlineLevel="0" collapsed="false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</row>
    <row r="417" customFormat="false" ht="15" hidden="false" customHeight="false" outlineLevel="0" collapsed="false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</row>
    <row r="418" customFormat="false" ht="15" hidden="false" customHeight="false" outlineLevel="0" collapsed="false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</row>
    <row r="419" customFormat="false" ht="15" hidden="false" customHeight="false" outlineLevel="0" collapsed="false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</row>
    <row r="420" customFormat="false" ht="15" hidden="false" customHeight="false" outlineLevel="0" collapsed="false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</row>
    <row r="421" customFormat="false" ht="15" hidden="false" customHeight="false" outlineLevel="0" collapsed="false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</row>
    <row r="422" customFormat="false" ht="15" hidden="false" customHeight="false" outlineLevel="0" collapsed="false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</row>
    <row r="423" customFormat="false" ht="15" hidden="false" customHeight="false" outlineLevel="0" collapsed="false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</row>
    <row r="424" customFormat="false" ht="15" hidden="false" customHeight="false" outlineLevel="0" collapsed="false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</row>
    <row r="425" customFormat="false" ht="15" hidden="false" customHeight="false" outlineLevel="0" collapsed="false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</row>
    <row r="426" customFormat="false" ht="15" hidden="false" customHeight="false" outlineLevel="0" collapsed="false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</row>
    <row r="427" customFormat="false" ht="15" hidden="false" customHeight="false" outlineLevel="0" collapsed="false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</row>
    <row r="428" customFormat="false" ht="15" hidden="false" customHeight="false" outlineLevel="0" collapsed="false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</row>
    <row r="429" customFormat="false" ht="15" hidden="false" customHeight="false" outlineLevel="0" collapsed="false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</row>
    <row r="430" customFormat="false" ht="15" hidden="false" customHeight="false" outlineLevel="0" collapsed="false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</row>
    <row r="431" customFormat="false" ht="15" hidden="false" customHeight="false" outlineLevel="0" collapsed="false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</row>
    <row r="432" customFormat="false" ht="15" hidden="false" customHeight="false" outlineLevel="0" collapsed="false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</row>
    <row r="433" customFormat="false" ht="15" hidden="false" customHeight="false" outlineLevel="0" collapsed="false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</row>
    <row r="434" customFormat="false" ht="15" hidden="false" customHeight="false" outlineLevel="0" collapsed="false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</row>
    <row r="435" customFormat="false" ht="15" hidden="false" customHeight="false" outlineLevel="0" collapsed="false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</row>
    <row r="436" customFormat="false" ht="15" hidden="false" customHeight="false" outlineLevel="0" collapsed="false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</row>
    <row r="437" customFormat="false" ht="15" hidden="false" customHeight="false" outlineLevel="0" collapsed="false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</row>
    <row r="438" customFormat="false" ht="15" hidden="false" customHeight="false" outlineLevel="0" collapsed="false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</row>
    <row r="439" customFormat="false" ht="15" hidden="false" customHeight="false" outlineLevel="0" collapsed="false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</row>
    <row r="440" customFormat="false" ht="15" hidden="false" customHeight="false" outlineLevel="0" collapsed="false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</row>
    <row r="441" customFormat="false" ht="15" hidden="false" customHeight="false" outlineLevel="0" collapsed="false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</row>
    <row r="442" customFormat="false" ht="15" hidden="false" customHeight="false" outlineLevel="0" collapsed="false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</row>
    <row r="443" customFormat="false" ht="15" hidden="false" customHeight="false" outlineLevel="0" collapsed="false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</row>
    <row r="444" customFormat="false" ht="15" hidden="false" customHeight="false" outlineLevel="0" collapsed="false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</row>
    <row r="445" customFormat="false" ht="15" hidden="false" customHeight="false" outlineLevel="0" collapsed="false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</row>
    <row r="446" customFormat="false" ht="15" hidden="false" customHeight="false" outlineLevel="0" collapsed="false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</row>
    <row r="447" customFormat="false" ht="15" hidden="false" customHeight="false" outlineLevel="0" collapsed="false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</row>
    <row r="448" customFormat="false" ht="15" hidden="false" customHeight="false" outlineLevel="0" collapsed="false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</row>
    <row r="449" customFormat="false" ht="15" hidden="false" customHeight="false" outlineLevel="0" collapsed="false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</row>
    <row r="450" customFormat="false" ht="15" hidden="false" customHeight="false" outlineLevel="0" collapsed="false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</row>
    <row r="451" customFormat="false" ht="15" hidden="false" customHeight="false" outlineLevel="0" collapsed="false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</row>
    <row r="452" customFormat="false" ht="15" hidden="false" customHeight="false" outlineLevel="0" collapsed="false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</row>
    <row r="453" customFormat="false" ht="15" hidden="false" customHeight="false" outlineLevel="0" collapsed="false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</row>
    <row r="454" customFormat="false" ht="15" hidden="false" customHeight="false" outlineLevel="0" collapsed="false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</row>
    <row r="455" customFormat="false" ht="15" hidden="false" customHeight="false" outlineLevel="0" collapsed="false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</row>
    <row r="456" customFormat="false" ht="15" hidden="false" customHeight="false" outlineLevel="0" collapsed="false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</row>
    <row r="457" customFormat="false" ht="15" hidden="false" customHeight="false" outlineLevel="0" collapsed="false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</row>
    <row r="458" customFormat="false" ht="15" hidden="false" customHeight="false" outlineLevel="0" collapsed="false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</row>
    <row r="459" customFormat="false" ht="15" hidden="false" customHeight="false" outlineLevel="0" collapsed="false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</row>
    <row r="460" customFormat="false" ht="15" hidden="false" customHeight="false" outlineLevel="0" collapsed="false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</row>
    <row r="461" customFormat="false" ht="15" hidden="false" customHeight="false" outlineLevel="0" collapsed="false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</row>
    <row r="462" customFormat="false" ht="15" hidden="false" customHeight="false" outlineLevel="0" collapsed="false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</row>
    <row r="463" customFormat="false" ht="15" hidden="false" customHeight="false" outlineLevel="0" collapsed="false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</row>
    <row r="464" customFormat="false" ht="15" hidden="false" customHeight="false" outlineLevel="0" collapsed="false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</row>
    <row r="465" customFormat="false" ht="15" hidden="false" customHeight="false" outlineLevel="0" collapsed="false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</row>
    <row r="466" customFormat="false" ht="15" hidden="false" customHeight="false" outlineLevel="0" collapsed="false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</row>
    <row r="467" customFormat="false" ht="15" hidden="false" customHeight="false" outlineLevel="0" collapsed="false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</row>
    <row r="468" customFormat="false" ht="15" hidden="false" customHeight="false" outlineLevel="0" collapsed="false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</row>
    <row r="469" customFormat="false" ht="15" hidden="false" customHeight="false" outlineLevel="0" collapsed="false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</row>
    <row r="470" customFormat="false" ht="15" hidden="false" customHeight="false" outlineLevel="0" collapsed="false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</row>
    <row r="471" customFormat="false" ht="15" hidden="false" customHeight="false" outlineLevel="0" collapsed="false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</row>
    <row r="472" customFormat="false" ht="15" hidden="false" customHeight="false" outlineLevel="0" collapsed="false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</row>
    <row r="473" customFormat="false" ht="15" hidden="false" customHeight="false" outlineLevel="0" collapsed="false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</row>
    <row r="474" customFormat="false" ht="15" hidden="false" customHeight="false" outlineLevel="0" collapsed="false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</row>
    <row r="475" customFormat="false" ht="15" hidden="false" customHeight="false" outlineLevel="0" collapsed="false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</row>
    <row r="476" customFormat="false" ht="15" hidden="false" customHeight="false" outlineLevel="0" collapsed="false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</row>
    <row r="477" customFormat="false" ht="15" hidden="false" customHeight="false" outlineLevel="0" collapsed="false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</row>
    <row r="478" customFormat="false" ht="15" hidden="false" customHeight="false" outlineLevel="0" collapsed="false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</row>
    <row r="479" customFormat="false" ht="15" hidden="false" customHeight="false" outlineLevel="0" collapsed="false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</row>
    <row r="480" customFormat="false" ht="15" hidden="false" customHeight="false" outlineLevel="0" collapsed="false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</row>
    <row r="481" customFormat="false" ht="15" hidden="false" customHeight="false" outlineLevel="0" collapsed="false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</row>
    <row r="482" customFormat="false" ht="15" hidden="false" customHeight="false" outlineLevel="0" collapsed="false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</row>
    <row r="483" customFormat="false" ht="15" hidden="false" customHeight="false" outlineLevel="0" collapsed="false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</row>
    <row r="484" customFormat="false" ht="15" hidden="false" customHeight="false" outlineLevel="0" collapsed="false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</row>
    <row r="485" customFormat="false" ht="15" hidden="false" customHeight="false" outlineLevel="0" collapsed="false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</row>
    <row r="486" customFormat="false" ht="15" hidden="false" customHeight="false" outlineLevel="0" collapsed="false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</row>
    <row r="487" customFormat="false" ht="15" hidden="false" customHeight="false" outlineLevel="0" collapsed="false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</row>
    <row r="488" customFormat="false" ht="15" hidden="false" customHeight="false" outlineLevel="0" collapsed="false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</row>
    <row r="489" customFormat="false" ht="15" hidden="false" customHeight="false" outlineLevel="0" collapsed="false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</row>
    <row r="490" customFormat="false" ht="15" hidden="false" customHeight="false" outlineLevel="0" collapsed="false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</row>
    <row r="491" customFormat="false" ht="15" hidden="false" customHeight="false" outlineLevel="0" collapsed="false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</row>
    <row r="492" customFormat="false" ht="15" hidden="false" customHeight="false" outlineLevel="0" collapsed="false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</row>
    <row r="493" customFormat="false" ht="15" hidden="false" customHeight="false" outlineLevel="0" collapsed="false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</row>
    <row r="494" customFormat="false" ht="15" hidden="false" customHeight="false" outlineLevel="0" collapsed="false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</row>
    <row r="495" customFormat="false" ht="15" hidden="false" customHeight="false" outlineLevel="0" collapsed="false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</row>
    <row r="496" customFormat="false" ht="15" hidden="false" customHeight="false" outlineLevel="0" collapsed="false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</row>
    <row r="497" customFormat="false" ht="15" hidden="false" customHeight="false" outlineLevel="0" collapsed="false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</row>
    <row r="498" customFormat="false" ht="15" hidden="false" customHeight="false" outlineLevel="0" collapsed="false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</row>
    <row r="499" customFormat="false" ht="15" hidden="false" customHeight="false" outlineLevel="0" collapsed="false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</row>
    <row r="500" customFormat="false" ht="15" hidden="false" customHeight="false" outlineLevel="0" collapsed="false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</row>
    <row r="501" customFormat="false" ht="15" hidden="false" customHeight="false" outlineLevel="0" collapsed="false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</row>
    <row r="502" customFormat="false" ht="15" hidden="false" customHeight="false" outlineLevel="0" collapsed="false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</row>
    <row r="503" customFormat="false" ht="15" hidden="false" customHeight="false" outlineLevel="0" collapsed="false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</row>
    <row r="504" customFormat="false" ht="15" hidden="false" customHeight="false" outlineLevel="0" collapsed="false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</row>
    <row r="505" customFormat="false" ht="15" hidden="false" customHeight="false" outlineLevel="0" collapsed="false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</row>
    <row r="506" customFormat="false" ht="15" hidden="false" customHeight="false" outlineLevel="0" collapsed="false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</row>
    <row r="507" customFormat="false" ht="15" hidden="false" customHeight="false" outlineLevel="0" collapsed="false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</row>
    <row r="508" customFormat="false" ht="15" hidden="false" customHeight="false" outlineLevel="0" collapsed="false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</row>
    <row r="509" customFormat="false" ht="15" hidden="false" customHeight="false" outlineLevel="0" collapsed="false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</row>
    <row r="510" customFormat="false" ht="15" hidden="false" customHeight="false" outlineLevel="0" collapsed="false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</row>
    <row r="511" customFormat="false" ht="15" hidden="false" customHeight="false" outlineLevel="0" collapsed="false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</row>
    <row r="512" customFormat="false" ht="15" hidden="false" customHeight="false" outlineLevel="0" collapsed="false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</row>
    <row r="513" customFormat="false" ht="15" hidden="false" customHeight="false" outlineLevel="0" collapsed="false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</row>
    <row r="514" customFormat="false" ht="15" hidden="false" customHeight="false" outlineLevel="0" collapsed="false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</row>
    <row r="515" customFormat="false" ht="15" hidden="false" customHeight="false" outlineLevel="0" collapsed="false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</row>
    <row r="516" customFormat="false" ht="15" hidden="false" customHeight="false" outlineLevel="0" collapsed="false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</row>
    <row r="517" customFormat="false" ht="15" hidden="false" customHeight="false" outlineLevel="0" collapsed="false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</row>
    <row r="518" customFormat="false" ht="15" hidden="false" customHeight="false" outlineLevel="0" collapsed="false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</row>
    <row r="519" customFormat="false" ht="15" hidden="false" customHeight="false" outlineLevel="0" collapsed="false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</row>
    <row r="520" customFormat="false" ht="15" hidden="false" customHeight="false" outlineLevel="0" collapsed="false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</row>
    <row r="521" customFormat="false" ht="15" hidden="false" customHeight="false" outlineLevel="0" collapsed="false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</row>
    <row r="522" customFormat="false" ht="15" hidden="false" customHeight="false" outlineLevel="0" collapsed="false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</row>
    <row r="523" customFormat="false" ht="15" hidden="false" customHeight="false" outlineLevel="0" collapsed="false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</row>
    <row r="524" customFormat="false" ht="15" hidden="false" customHeight="false" outlineLevel="0" collapsed="false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</row>
    <row r="525" customFormat="false" ht="15" hidden="false" customHeight="false" outlineLevel="0" collapsed="false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</row>
    <row r="526" customFormat="false" ht="15" hidden="false" customHeight="false" outlineLevel="0" collapsed="false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</row>
    <row r="527" customFormat="false" ht="15" hidden="false" customHeight="false" outlineLevel="0" collapsed="false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</row>
    <row r="528" customFormat="false" ht="15" hidden="false" customHeight="false" outlineLevel="0" collapsed="false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</row>
    <row r="529" customFormat="false" ht="15" hidden="false" customHeight="false" outlineLevel="0" collapsed="false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</row>
    <row r="530" customFormat="false" ht="15" hidden="false" customHeight="false" outlineLevel="0" collapsed="false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</row>
    <row r="531" customFormat="false" ht="15" hidden="false" customHeight="false" outlineLevel="0" collapsed="false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</row>
    <row r="532" customFormat="false" ht="15" hidden="false" customHeight="false" outlineLevel="0" collapsed="false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</row>
    <row r="533" customFormat="false" ht="15" hidden="false" customHeight="false" outlineLevel="0" collapsed="false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</row>
    <row r="534" customFormat="false" ht="15" hidden="false" customHeight="false" outlineLevel="0" collapsed="false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</row>
    <row r="535" customFormat="false" ht="15" hidden="false" customHeight="false" outlineLevel="0" collapsed="false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</row>
    <row r="536" customFormat="false" ht="15" hidden="false" customHeight="false" outlineLevel="0" collapsed="false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</row>
    <row r="537" customFormat="false" ht="15" hidden="false" customHeight="false" outlineLevel="0" collapsed="false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</row>
    <row r="538" customFormat="false" ht="15" hidden="false" customHeight="false" outlineLevel="0" collapsed="false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</row>
    <row r="539" customFormat="false" ht="15" hidden="false" customHeight="false" outlineLevel="0" collapsed="false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</row>
    <row r="540" customFormat="false" ht="15" hidden="false" customHeight="false" outlineLevel="0" collapsed="false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</row>
    <row r="541" customFormat="false" ht="15" hidden="false" customHeight="false" outlineLevel="0" collapsed="false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</row>
    <row r="542" customFormat="false" ht="15" hidden="false" customHeight="false" outlineLevel="0" collapsed="false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</row>
    <row r="543" customFormat="false" ht="15" hidden="false" customHeight="false" outlineLevel="0" collapsed="false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</row>
    <row r="544" customFormat="false" ht="15" hidden="false" customHeight="false" outlineLevel="0" collapsed="false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</row>
    <row r="545" customFormat="false" ht="15" hidden="false" customHeight="false" outlineLevel="0" collapsed="false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</row>
    <row r="546" customFormat="false" ht="15" hidden="false" customHeight="false" outlineLevel="0" collapsed="false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</row>
    <row r="547" customFormat="false" ht="15" hidden="false" customHeight="false" outlineLevel="0" collapsed="false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</row>
    <row r="548" customFormat="false" ht="15" hidden="false" customHeight="false" outlineLevel="0" collapsed="false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</row>
    <row r="549" customFormat="false" ht="15" hidden="false" customHeight="false" outlineLevel="0" collapsed="false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</row>
    <row r="550" customFormat="false" ht="15" hidden="false" customHeight="false" outlineLevel="0" collapsed="false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</row>
    <row r="551" customFormat="false" ht="15" hidden="false" customHeight="false" outlineLevel="0" collapsed="false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</row>
    <row r="552" customFormat="false" ht="15" hidden="false" customHeight="false" outlineLevel="0" collapsed="false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</row>
    <row r="553" customFormat="false" ht="15" hidden="false" customHeight="false" outlineLevel="0" collapsed="false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</row>
    <row r="554" customFormat="false" ht="15" hidden="false" customHeight="false" outlineLevel="0" collapsed="false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</row>
    <row r="555" customFormat="false" ht="15" hidden="false" customHeight="false" outlineLevel="0" collapsed="false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</row>
    <row r="556" customFormat="false" ht="15" hidden="false" customHeight="false" outlineLevel="0" collapsed="false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</row>
    <row r="557" customFormat="false" ht="15" hidden="false" customHeight="false" outlineLevel="0" collapsed="false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</row>
    <row r="558" customFormat="false" ht="15" hidden="false" customHeight="false" outlineLevel="0" collapsed="false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</row>
    <row r="559" customFormat="false" ht="15" hidden="false" customHeight="false" outlineLevel="0" collapsed="false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</row>
    <row r="560" customFormat="false" ht="15" hidden="false" customHeight="false" outlineLevel="0" collapsed="false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</row>
    <row r="561" customFormat="false" ht="15" hidden="false" customHeight="false" outlineLevel="0" collapsed="false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</row>
    <row r="562" customFormat="false" ht="15" hidden="false" customHeight="false" outlineLevel="0" collapsed="false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</row>
    <row r="563" customFormat="false" ht="15" hidden="false" customHeight="false" outlineLevel="0" collapsed="false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</row>
    <row r="564" customFormat="false" ht="15" hidden="false" customHeight="false" outlineLevel="0" collapsed="false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</row>
    <row r="565" customFormat="false" ht="15" hidden="false" customHeight="false" outlineLevel="0" collapsed="false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</row>
    <row r="566" customFormat="false" ht="15" hidden="false" customHeight="false" outlineLevel="0" collapsed="false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</row>
    <row r="567" customFormat="false" ht="15" hidden="false" customHeight="false" outlineLevel="0" collapsed="false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</row>
    <row r="568" customFormat="false" ht="15" hidden="false" customHeight="false" outlineLevel="0" collapsed="false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</row>
    <row r="569" customFormat="false" ht="15" hidden="false" customHeight="false" outlineLevel="0" collapsed="false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</row>
    <row r="570" customFormat="false" ht="15" hidden="false" customHeight="false" outlineLevel="0" collapsed="false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</row>
    <row r="571" customFormat="false" ht="15" hidden="false" customHeight="false" outlineLevel="0" collapsed="false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</row>
    <row r="572" customFormat="false" ht="15" hidden="false" customHeight="false" outlineLevel="0" collapsed="false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</row>
    <row r="573" customFormat="false" ht="15" hidden="false" customHeight="false" outlineLevel="0" collapsed="false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</row>
    <row r="574" customFormat="false" ht="15" hidden="false" customHeight="false" outlineLevel="0" collapsed="false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</row>
    <row r="575" customFormat="false" ht="15" hidden="false" customHeight="false" outlineLevel="0" collapsed="false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</row>
    <row r="576" customFormat="false" ht="15" hidden="false" customHeight="false" outlineLevel="0" collapsed="false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</row>
    <row r="577" customFormat="false" ht="15" hidden="false" customHeight="false" outlineLevel="0" collapsed="false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</row>
    <row r="578" customFormat="false" ht="15" hidden="false" customHeight="false" outlineLevel="0" collapsed="false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</row>
    <row r="579" customFormat="false" ht="15" hidden="false" customHeight="false" outlineLevel="0" collapsed="false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</row>
    <row r="580" customFormat="false" ht="15" hidden="false" customHeight="false" outlineLevel="0" collapsed="false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</row>
    <row r="581" customFormat="false" ht="15" hidden="false" customHeight="false" outlineLevel="0" collapsed="false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</row>
    <row r="582" customFormat="false" ht="15" hidden="false" customHeight="false" outlineLevel="0" collapsed="false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</row>
    <row r="583" customFormat="false" ht="15" hidden="false" customHeight="false" outlineLevel="0" collapsed="false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</row>
    <row r="584" customFormat="false" ht="15" hidden="false" customHeight="false" outlineLevel="0" collapsed="false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</row>
    <row r="585" customFormat="false" ht="15" hidden="false" customHeight="false" outlineLevel="0" collapsed="false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</row>
    <row r="586" customFormat="false" ht="15" hidden="false" customHeight="false" outlineLevel="0" collapsed="false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</row>
    <row r="587" customFormat="false" ht="15" hidden="false" customHeight="false" outlineLevel="0" collapsed="false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</row>
    <row r="588" customFormat="false" ht="15" hidden="false" customHeight="false" outlineLevel="0" collapsed="false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</row>
    <row r="589" customFormat="false" ht="15" hidden="false" customHeight="false" outlineLevel="0" collapsed="false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</row>
    <row r="590" customFormat="false" ht="15" hidden="false" customHeight="false" outlineLevel="0" collapsed="false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</row>
    <row r="591" customFormat="false" ht="15" hidden="false" customHeight="false" outlineLevel="0" collapsed="false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</row>
    <row r="592" customFormat="false" ht="15" hidden="false" customHeight="false" outlineLevel="0" collapsed="false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</row>
    <row r="593" customFormat="false" ht="15" hidden="false" customHeight="false" outlineLevel="0" collapsed="false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</row>
    <row r="594" customFormat="false" ht="15" hidden="false" customHeight="false" outlineLevel="0" collapsed="false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</row>
    <row r="595" customFormat="false" ht="15" hidden="false" customHeight="false" outlineLevel="0" collapsed="false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</row>
    <row r="596" customFormat="false" ht="15" hidden="false" customHeight="false" outlineLevel="0" collapsed="false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</row>
    <row r="597" customFormat="false" ht="15" hidden="false" customHeight="false" outlineLevel="0" collapsed="false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</row>
    <row r="598" customFormat="false" ht="15" hidden="false" customHeight="false" outlineLevel="0" collapsed="false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</row>
    <row r="599" customFormat="false" ht="15" hidden="false" customHeight="false" outlineLevel="0" collapsed="false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</row>
    <row r="600" customFormat="false" ht="15" hidden="false" customHeight="false" outlineLevel="0" collapsed="false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</row>
    <row r="601" customFormat="false" ht="15" hidden="false" customHeight="false" outlineLevel="0" collapsed="false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</row>
    <row r="602" customFormat="false" ht="15" hidden="false" customHeight="false" outlineLevel="0" collapsed="false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</row>
    <row r="603" customFormat="false" ht="15" hidden="false" customHeight="false" outlineLevel="0" collapsed="false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</row>
    <row r="604" customFormat="false" ht="15" hidden="false" customHeight="false" outlineLevel="0" collapsed="false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</row>
    <row r="605" customFormat="false" ht="15" hidden="false" customHeight="false" outlineLevel="0" collapsed="false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</row>
    <row r="606" customFormat="false" ht="15" hidden="false" customHeight="false" outlineLevel="0" collapsed="false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</row>
    <row r="607" customFormat="false" ht="15" hidden="false" customHeight="false" outlineLevel="0" collapsed="false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</row>
    <row r="608" customFormat="false" ht="15" hidden="false" customHeight="false" outlineLevel="0" collapsed="false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</row>
    <row r="609" customFormat="false" ht="15" hidden="false" customHeight="false" outlineLevel="0" collapsed="false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</row>
    <row r="610" customFormat="false" ht="15" hidden="false" customHeight="false" outlineLevel="0" collapsed="false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</row>
    <row r="611" customFormat="false" ht="15" hidden="false" customHeight="false" outlineLevel="0" collapsed="false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</row>
    <row r="612" customFormat="false" ht="15" hidden="false" customHeight="false" outlineLevel="0" collapsed="false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</row>
    <row r="613" customFormat="false" ht="15" hidden="false" customHeight="false" outlineLevel="0" collapsed="false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</row>
    <row r="614" customFormat="false" ht="15" hidden="false" customHeight="false" outlineLevel="0" collapsed="false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</row>
    <row r="615" customFormat="false" ht="15" hidden="false" customHeight="false" outlineLevel="0" collapsed="false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</row>
    <row r="616" customFormat="false" ht="15" hidden="false" customHeight="false" outlineLevel="0" collapsed="false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</row>
    <row r="617" customFormat="false" ht="15" hidden="false" customHeight="false" outlineLevel="0" collapsed="false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</row>
    <row r="618" customFormat="false" ht="15" hidden="false" customHeight="false" outlineLevel="0" collapsed="false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</row>
    <row r="619" customFormat="false" ht="15" hidden="false" customHeight="false" outlineLevel="0" collapsed="false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</row>
    <row r="620" customFormat="false" ht="15" hidden="false" customHeight="false" outlineLevel="0" collapsed="false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</row>
    <row r="621" customFormat="false" ht="15" hidden="false" customHeight="false" outlineLevel="0" collapsed="false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</row>
    <row r="622" customFormat="false" ht="15" hidden="false" customHeight="false" outlineLevel="0" collapsed="false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</row>
    <row r="623" customFormat="false" ht="15" hidden="false" customHeight="false" outlineLevel="0" collapsed="false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</row>
    <row r="624" customFormat="false" ht="15" hidden="false" customHeight="false" outlineLevel="0" collapsed="false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</row>
    <row r="625" customFormat="false" ht="15" hidden="false" customHeight="false" outlineLevel="0" collapsed="false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</row>
    <row r="626" customFormat="false" ht="15" hidden="false" customHeight="false" outlineLevel="0" collapsed="false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</row>
    <row r="627" customFormat="false" ht="15" hidden="false" customHeight="false" outlineLevel="0" collapsed="false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</row>
    <row r="628" customFormat="false" ht="15" hidden="false" customHeight="false" outlineLevel="0" collapsed="false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</row>
    <row r="629" customFormat="false" ht="15" hidden="false" customHeight="false" outlineLevel="0" collapsed="false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</row>
    <row r="630" customFormat="false" ht="15" hidden="false" customHeight="false" outlineLevel="0" collapsed="false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</row>
    <row r="631" customFormat="false" ht="15" hidden="false" customHeight="false" outlineLevel="0" collapsed="false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</row>
    <row r="632" customFormat="false" ht="15" hidden="false" customHeight="false" outlineLevel="0" collapsed="false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</row>
    <row r="633" customFormat="false" ht="15" hidden="false" customHeight="false" outlineLevel="0" collapsed="false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</row>
    <row r="634" customFormat="false" ht="15" hidden="false" customHeight="false" outlineLevel="0" collapsed="false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</row>
    <row r="635" customFormat="false" ht="15" hidden="false" customHeight="false" outlineLevel="0" collapsed="false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</row>
    <row r="636" customFormat="false" ht="15" hidden="false" customHeight="false" outlineLevel="0" collapsed="false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</row>
    <row r="637" customFormat="false" ht="15" hidden="false" customHeight="false" outlineLevel="0" collapsed="false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</row>
    <row r="638" customFormat="false" ht="15" hidden="false" customHeight="false" outlineLevel="0" collapsed="false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</row>
    <row r="639" customFormat="false" ht="15" hidden="false" customHeight="false" outlineLevel="0" collapsed="false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</row>
    <row r="640" customFormat="false" ht="15" hidden="false" customHeight="false" outlineLevel="0" collapsed="false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</row>
    <row r="641" customFormat="false" ht="15" hidden="false" customHeight="false" outlineLevel="0" collapsed="false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</row>
    <row r="642" customFormat="false" ht="15" hidden="false" customHeight="false" outlineLevel="0" collapsed="false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</row>
    <row r="643" customFormat="false" ht="15" hidden="false" customHeight="false" outlineLevel="0" collapsed="false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</row>
    <row r="644" customFormat="false" ht="15" hidden="false" customHeight="false" outlineLevel="0" collapsed="false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</row>
    <row r="645" customFormat="false" ht="15" hidden="false" customHeight="false" outlineLevel="0" collapsed="false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</row>
    <row r="646" customFormat="false" ht="15" hidden="false" customHeight="false" outlineLevel="0" collapsed="false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</row>
    <row r="647" customFormat="false" ht="15" hidden="false" customHeight="false" outlineLevel="0" collapsed="false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</row>
    <row r="648" customFormat="false" ht="15" hidden="false" customHeight="false" outlineLevel="0" collapsed="false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</row>
    <row r="649" customFormat="false" ht="15" hidden="false" customHeight="false" outlineLevel="0" collapsed="false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</row>
    <row r="650" customFormat="false" ht="15" hidden="false" customHeight="false" outlineLevel="0" collapsed="false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</row>
    <row r="651" customFormat="false" ht="15" hidden="false" customHeight="false" outlineLevel="0" collapsed="false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</row>
    <row r="652" customFormat="false" ht="15" hidden="false" customHeight="false" outlineLevel="0" collapsed="false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</row>
    <row r="653" customFormat="false" ht="15" hidden="false" customHeight="false" outlineLevel="0" collapsed="false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</row>
    <row r="654" customFormat="false" ht="15" hidden="false" customHeight="false" outlineLevel="0" collapsed="false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</row>
    <row r="655" customFormat="false" ht="15" hidden="false" customHeight="false" outlineLevel="0" collapsed="false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</row>
    <row r="656" customFormat="false" ht="15" hidden="false" customHeight="false" outlineLevel="0" collapsed="false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</row>
    <row r="657" customFormat="false" ht="15" hidden="false" customHeight="false" outlineLevel="0" collapsed="false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</row>
    <row r="658" customFormat="false" ht="15" hidden="false" customHeight="false" outlineLevel="0" collapsed="false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</row>
    <row r="659" customFormat="false" ht="15" hidden="false" customHeight="false" outlineLevel="0" collapsed="false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</row>
    <row r="660" customFormat="false" ht="15" hidden="false" customHeight="false" outlineLevel="0" collapsed="false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</row>
    <row r="661" customFormat="false" ht="15" hidden="false" customHeight="false" outlineLevel="0" collapsed="false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</row>
    <row r="662" customFormat="false" ht="15" hidden="false" customHeight="false" outlineLevel="0" collapsed="false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</row>
    <row r="663" customFormat="false" ht="15" hidden="false" customHeight="false" outlineLevel="0" collapsed="false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</row>
    <row r="664" customFormat="false" ht="15" hidden="false" customHeight="false" outlineLevel="0" collapsed="false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</row>
    <row r="665" customFormat="false" ht="15" hidden="false" customHeight="false" outlineLevel="0" collapsed="false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</row>
    <row r="666" customFormat="false" ht="15" hidden="false" customHeight="false" outlineLevel="0" collapsed="false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</row>
    <row r="667" customFormat="false" ht="15" hidden="false" customHeight="false" outlineLevel="0" collapsed="false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</row>
    <row r="668" customFormat="false" ht="15" hidden="false" customHeight="false" outlineLevel="0" collapsed="false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</row>
    <row r="669" customFormat="false" ht="15" hidden="false" customHeight="false" outlineLevel="0" collapsed="false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</row>
    <row r="670" customFormat="false" ht="15" hidden="false" customHeight="false" outlineLevel="0" collapsed="false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</row>
    <row r="671" customFormat="false" ht="15" hidden="false" customHeight="false" outlineLevel="0" collapsed="false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</row>
    <row r="672" customFormat="false" ht="15" hidden="false" customHeight="false" outlineLevel="0" collapsed="false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</row>
    <row r="673" customFormat="false" ht="15" hidden="false" customHeight="false" outlineLevel="0" collapsed="false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</row>
    <row r="674" customFormat="false" ht="15" hidden="false" customHeight="false" outlineLevel="0" collapsed="false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</row>
    <row r="675" customFormat="false" ht="15" hidden="false" customHeight="false" outlineLevel="0" collapsed="false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</row>
    <row r="676" customFormat="false" ht="15" hidden="false" customHeight="false" outlineLevel="0" collapsed="false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</row>
    <row r="677" customFormat="false" ht="15" hidden="false" customHeight="false" outlineLevel="0" collapsed="false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</row>
    <row r="678" customFormat="false" ht="15" hidden="false" customHeight="false" outlineLevel="0" collapsed="false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</row>
    <row r="679" customFormat="false" ht="15" hidden="false" customHeight="false" outlineLevel="0" collapsed="false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</row>
    <row r="680" customFormat="false" ht="15" hidden="false" customHeight="false" outlineLevel="0" collapsed="false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</row>
    <row r="681" customFormat="false" ht="15" hidden="false" customHeight="false" outlineLevel="0" collapsed="false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</row>
    <row r="682" customFormat="false" ht="15" hidden="false" customHeight="false" outlineLevel="0" collapsed="false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</row>
    <row r="683" customFormat="false" ht="15" hidden="false" customHeight="false" outlineLevel="0" collapsed="false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</row>
    <row r="684" customFormat="false" ht="15" hidden="false" customHeight="false" outlineLevel="0" collapsed="false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</row>
    <row r="685" customFormat="false" ht="15" hidden="false" customHeight="false" outlineLevel="0" collapsed="false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</row>
    <row r="686" customFormat="false" ht="15" hidden="false" customHeight="false" outlineLevel="0" collapsed="false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</row>
    <row r="687" customFormat="false" ht="15" hidden="false" customHeight="false" outlineLevel="0" collapsed="false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</row>
    <row r="688" customFormat="false" ht="15" hidden="false" customHeight="false" outlineLevel="0" collapsed="false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</row>
    <row r="689" customFormat="false" ht="15" hidden="false" customHeight="false" outlineLevel="0" collapsed="false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</row>
    <row r="690" customFormat="false" ht="15" hidden="false" customHeight="false" outlineLevel="0" collapsed="false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</row>
    <row r="691" customFormat="false" ht="15" hidden="false" customHeight="false" outlineLevel="0" collapsed="false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</row>
    <row r="692" customFormat="false" ht="15" hidden="false" customHeight="false" outlineLevel="0" collapsed="false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</row>
    <row r="693" customFormat="false" ht="15" hidden="false" customHeight="false" outlineLevel="0" collapsed="false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</row>
    <row r="694" customFormat="false" ht="15" hidden="false" customHeight="false" outlineLevel="0" collapsed="false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</row>
    <row r="695" customFormat="false" ht="15" hidden="false" customHeight="false" outlineLevel="0" collapsed="false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</row>
    <row r="696" customFormat="false" ht="15" hidden="false" customHeight="false" outlineLevel="0" collapsed="false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</row>
    <row r="697" customFormat="false" ht="15" hidden="false" customHeight="false" outlineLevel="0" collapsed="false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</row>
    <row r="698" customFormat="false" ht="15" hidden="false" customHeight="false" outlineLevel="0" collapsed="false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</row>
    <row r="699" customFormat="false" ht="15" hidden="false" customHeight="false" outlineLevel="0" collapsed="false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</row>
    <row r="700" customFormat="false" ht="15" hidden="false" customHeight="false" outlineLevel="0" collapsed="false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</row>
    <row r="701" customFormat="false" ht="15" hidden="false" customHeight="false" outlineLevel="0" collapsed="false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</row>
    <row r="702" customFormat="false" ht="15" hidden="false" customHeight="false" outlineLevel="0" collapsed="false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</row>
    <row r="703" customFormat="false" ht="15" hidden="false" customHeight="false" outlineLevel="0" collapsed="false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</row>
    <row r="704" customFormat="false" ht="15" hidden="false" customHeight="false" outlineLevel="0" collapsed="false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</row>
    <row r="705" customFormat="false" ht="15" hidden="false" customHeight="false" outlineLevel="0" collapsed="false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</row>
    <row r="706" customFormat="false" ht="15" hidden="false" customHeight="false" outlineLevel="0" collapsed="false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</row>
    <row r="707" customFormat="false" ht="15" hidden="false" customHeight="false" outlineLevel="0" collapsed="false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</row>
    <row r="708" customFormat="false" ht="15" hidden="false" customHeight="false" outlineLevel="0" collapsed="false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</row>
    <row r="709" customFormat="false" ht="15" hidden="false" customHeight="false" outlineLevel="0" collapsed="false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</row>
    <row r="710" customFormat="false" ht="15" hidden="false" customHeight="false" outlineLevel="0" collapsed="false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</row>
    <row r="711" customFormat="false" ht="15" hidden="false" customHeight="false" outlineLevel="0" collapsed="false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</row>
    <row r="712" customFormat="false" ht="15" hidden="false" customHeight="false" outlineLevel="0" collapsed="false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</row>
    <row r="713" customFormat="false" ht="15" hidden="false" customHeight="false" outlineLevel="0" collapsed="false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</row>
    <row r="714" customFormat="false" ht="15" hidden="false" customHeight="false" outlineLevel="0" collapsed="false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</row>
    <row r="715" customFormat="false" ht="15" hidden="false" customHeight="false" outlineLevel="0" collapsed="false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</row>
    <row r="716" customFormat="false" ht="15" hidden="false" customHeight="false" outlineLevel="0" collapsed="false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</row>
    <row r="717" customFormat="false" ht="15" hidden="false" customHeight="false" outlineLevel="0" collapsed="false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</row>
    <row r="718" customFormat="false" ht="15" hidden="false" customHeight="false" outlineLevel="0" collapsed="false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</row>
    <row r="719" customFormat="false" ht="15" hidden="false" customHeight="false" outlineLevel="0" collapsed="false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</row>
    <row r="720" customFormat="false" ht="15" hidden="false" customHeight="false" outlineLevel="0" collapsed="false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</row>
    <row r="721" customFormat="false" ht="15" hidden="false" customHeight="false" outlineLevel="0" collapsed="false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</row>
    <row r="722" customFormat="false" ht="15" hidden="false" customHeight="false" outlineLevel="0" collapsed="false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</row>
    <row r="723" customFormat="false" ht="15" hidden="false" customHeight="false" outlineLevel="0" collapsed="false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</row>
    <row r="724" customFormat="false" ht="15" hidden="false" customHeight="false" outlineLevel="0" collapsed="false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</row>
    <row r="725" customFormat="false" ht="15" hidden="false" customHeight="false" outlineLevel="0" collapsed="false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</row>
    <row r="726" customFormat="false" ht="15" hidden="false" customHeight="false" outlineLevel="0" collapsed="false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</row>
    <row r="727" customFormat="false" ht="15" hidden="false" customHeight="false" outlineLevel="0" collapsed="false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</row>
    <row r="728" customFormat="false" ht="15" hidden="false" customHeight="false" outlineLevel="0" collapsed="false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</row>
    <row r="729" customFormat="false" ht="15" hidden="false" customHeight="false" outlineLevel="0" collapsed="false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</row>
    <row r="730" customFormat="false" ht="15" hidden="false" customHeight="false" outlineLevel="0" collapsed="false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</row>
    <row r="731" customFormat="false" ht="15" hidden="false" customHeight="false" outlineLevel="0" collapsed="false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</row>
    <row r="732" customFormat="false" ht="15" hidden="false" customHeight="false" outlineLevel="0" collapsed="false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</row>
    <row r="733" customFormat="false" ht="15" hidden="false" customHeight="false" outlineLevel="0" collapsed="false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</row>
    <row r="734" customFormat="false" ht="15" hidden="false" customHeight="false" outlineLevel="0" collapsed="false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</row>
    <row r="735" customFormat="false" ht="15" hidden="false" customHeight="false" outlineLevel="0" collapsed="false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</row>
    <row r="736" customFormat="false" ht="15" hidden="false" customHeight="false" outlineLevel="0" collapsed="false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</row>
    <row r="737" customFormat="false" ht="15" hidden="false" customHeight="false" outlineLevel="0" collapsed="false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</row>
    <row r="738" customFormat="false" ht="15" hidden="false" customHeight="false" outlineLevel="0" collapsed="false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</row>
    <row r="739" customFormat="false" ht="15" hidden="false" customHeight="false" outlineLevel="0" collapsed="false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</row>
    <row r="740" customFormat="false" ht="15" hidden="false" customHeight="false" outlineLevel="0" collapsed="false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</row>
    <row r="741" customFormat="false" ht="15" hidden="false" customHeight="false" outlineLevel="0" collapsed="false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</row>
    <row r="742" customFormat="false" ht="15" hidden="false" customHeight="false" outlineLevel="0" collapsed="false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</row>
    <row r="743" customFormat="false" ht="15" hidden="false" customHeight="false" outlineLevel="0" collapsed="false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</row>
    <row r="744" customFormat="false" ht="15" hidden="false" customHeight="false" outlineLevel="0" collapsed="false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</row>
    <row r="745" customFormat="false" ht="15" hidden="false" customHeight="false" outlineLevel="0" collapsed="false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</row>
    <row r="746" customFormat="false" ht="15" hidden="false" customHeight="false" outlineLevel="0" collapsed="false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</row>
    <row r="747" customFormat="false" ht="15" hidden="false" customHeight="false" outlineLevel="0" collapsed="false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</row>
    <row r="748" customFormat="false" ht="15" hidden="false" customHeight="false" outlineLevel="0" collapsed="false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</row>
    <row r="749" customFormat="false" ht="15" hidden="false" customHeight="false" outlineLevel="0" collapsed="false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</row>
    <row r="750" customFormat="false" ht="15" hidden="false" customHeight="false" outlineLevel="0" collapsed="false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</row>
    <row r="751" customFormat="false" ht="15" hidden="false" customHeight="false" outlineLevel="0" collapsed="false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</row>
    <row r="752" customFormat="false" ht="15" hidden="false" customHeight="false" outlineLevel="0" collapsed="false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</row>
    <row r="753" customFormat="false" ht="15" hidden="false" customHeight="false" outlineLevel="0" collapsed="false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</row>
    <row r="754" customFormat="false" ht="15" hidden="false" customHeight="false" outlineLevel="0" collapsed="false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</row>
    <row r="755" customFormat="false" ht="15" hidden="false" customHeight="false" outlineLevel="0" collapsed="false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</row>
    <row r="756" customFormat="false" ht="15" hidden="false" customHeight="false" outlineLevel="0" collapsed="false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</row>
    <row r="757" customFormat="false" ht="15" hidden="false" customHeight="false" outlineLevel="0" collapsed="false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</row>
    <row r="758" customFormat="false" ht="15" hidden="false" customHeight="false" outlineLevel="0" collapsed="false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</row>
    <row r="759" customFormat="false" ht="15" hidden="false" customHeight="false" outlineLevel="0" collapsed="false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</row>
    <row r="760" customFormat="false" ht="15" hidden="false" customHeight="false" outlineLevel="0" collapsed="false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</row>
    <row r="761" customFormat="false" ht="15" hidden="false" customHeight="false" outlineLevel="0" collapsed="false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</row>
    <row r="762" customFormat="false" ht="15" hidden="false" customHeight="false" outlineLevel="0" collapsed="false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</row>
    <row r="763" customFormat="false" ht="15" hidden="false" customHeight="false" outlineLevel="0" collapsed="false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</row>
    <row r="764" customFormat="false" ht="15" hidden="false" customHeight="false" outlineLevel="0" collapsed="false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</row>
    <row r="765" customFormat="false" ht="15" hidden="false" customHeight="false" outlineLevel="0" collapsed="false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</row>
    <row r="766" customFormat="false" ht="15" hidden="false" customHeight="false" outlineLevel="0" collapsed="false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</row>
    <row r="767" customFormat="false" ht="15" hidden="false" customHeight="false" outlineLevel="0" collapsed="false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</row>
    <row r="768" customFormat="false" ht="15" hidden="false" customHeight="false" outlineLevel="0" collapsed="false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</row>
    <row r="769" customFormat="false" ht="15" hidden="false" customHeight="false" outlineLevel="0" collapsed="false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</row>
    <row r="770" customFormat="false" ht="15" hidden="false" customHeight="false" outlineLevel="0" collapsed="false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</row>
    <row r="771" customFormat="false" ht="15" hidden="false" customHeight="false" outlineLevel="0" collapsed="false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</row>
    <row r="772" customFormat="false" ht="15" hidden="false" customHeight="false" outlineLevel="0" collapsed="false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</row>
    <row r="773" customFormat="false" ht="15" hidden="false" customHeight="false" outlineLevel="0" collapsed="false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</row>
    <row r="774" customFormat="false" ht="15" hidden="false" customHeight="false" outlineLevel="0" collapsed="false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</row>
    <row r="775" customFormat="false" ht="15" hidden="false" customHeight="false" outlineLevel="0" collapsed="false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</row>
    <row r="776" customFormat="false" ht="15" hidden="false" customHeight="false" outlineLevel="0" collapsed="false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</row>
    <row r="777" customFormat="false" ht="15" hidden="false" customHeight="false" outlineLevel="0" collapsed="false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</row>
    <row r="778" customFormat="false" ht="15" hidden="false" customHeight="false" outlineLevel="0" collapsed="false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</row>
    <row r="779" customFormat="false" ht="15" hidden="false" customHeight="false" outlineLevel="0" collapsed="false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</row>
    <row r="780" customFormat="false" ht="15" hidden="false" customHeight="false" outlineLevel="0" collapsed="false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</row>
    <row r="781" customFormat="false" ht="15" hidden="false" customHeight="false" outlineLevel="0" collapsed="false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</row>
    <row r="782" customFormat="false" ht="15" hidden="false" customHeight="false" outlineLevel="0" collapsed="false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</row>
    <row r="783" customFormat="false" ht="15" hidden="false" customHeight="false" outlineLevel="0" collapsed="false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</row>
    <row r="784" customFormat="false" ht="15" hidden="false" customHeight="false" outlineLevel="0" collapsed="false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</row>
    <row r="785" customFormat="false" ht="15" hidden="false" customHeight="false" outlineLevel="0" collapsed="false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</row>
    <row r="786" customFormat="false" ht="15" hidden="false" customHeight="false" outlineLevel="0" collapsed="false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</row>
    <row r="787" customFormat="false" ht="15" hidden="false" customHeight="false" outlineLevel="0" collapsed="false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</row>
    <row r="788" customFormat="false" ht="15" hidden="false" customHeight="false" outlineLevel="0" collapsed="false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</row>
    <row r="789" customFormat="false" ht="15" hidden="false" customHeight="false" outlineLevel="0" collapsed="false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</row>
    <row r="790" customFormat="false" ht="15" hidden="false" customHeight="false" outlineLevel="0" collapsed="false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</row>
    <row r="791" customFormat="false" ht="15" hidden="false" customHeight="false" outlineLevel="0" collapsed="false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</row>
    <row r="792" customFormat="false" ht="15" hidden="false" customHeight="false" outlineLevel="0" collapsed="false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</row>
    <row r="793" customFormat="false" ht="15" hidden="false" customHeight="false" outlineLevel="0" collapsed="false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</row>
    <row r="794" customFormat="false" ht="15" hidden="false" customHeight="false" outlineLevel="0" collapsed="false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</row>
    <row r="795" customFormat="false" ht="15" hidden="false" customHeight="false" outlineLevel="0" collapsed="false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</row>
    <row r="796" customFormat="false" ht="15" hidden="false" customHeight="false" outlineLevel="0" collapsed="false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</row>
    <row r="797" customFormat="false" ht="15" hidden="false" customHeight="false" outlineLevel="0" collapsed="false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</row>
    <row r="798" customFormat="false" ht="15" hidden="false" customHeight="false" outlineLevel="0" collapsed="false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</row>
    <row r="799" customFormat="false" ht="15" hidden="false" customHeight="false" outlineLevel="0" collapsed="false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</row>
    <row r="800" customFormat="false" ht="15" hidden="false" customHeight="false" outlineLevel="0" collapsed="false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</row>
    <row r="801" customFormat="false" ht="15" hidden="false" customHeight="false" outlineLevel="0" collapsed="false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</row>
    <row r="802" customFormat="false" ht="15" hidden="false" customHeight="false" outlineLevel="0" collapsed="false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</row>
    <row r="803" customFormat="false" ht="15" hidden="false" customHeight="false" outlineLevel="0" collapsed="false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</row>
    <row r="804" customFormat="false" ht="15" hidden="false" customHeight="false" outlineLevel="0" collapsed="false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</row>
    <row r="805" customFormat="false" ht="15" hidden="false" customHeight="false" outlineLevel="0" collapsed="false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</row>
    <row r="806" customFormat="false" ht="15" hidden="false" customHeight="false" outlineLevel="0" collapsed="false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</row>
    <row r="807" customFormat="false" ht="15" hidden="false" customHeight="false" outlineLevel="0" collapsed="false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</row>
    <row r="808" customFormat="false" ht="15" hidden="false" customHeight="false" outlineLevel="0" collapsed="false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</row>
    <row r="809" customFormat="false" ht="15" hidden="false" customHeight="false" outlineLevel="0" collapsed="false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</row>
    <row r="810" customFormat="false" ht="15" hidden="false" customHeight="false" outlineLevel="0" collapsed="false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</row>
    <row r="811" customFormat="false" ht="15" hidden="false" customHeight="false" outlineLevel="0" collapsed="false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</row>
    <row r="812" customFormat="false" ht="15" hidden="false" customHeight="false" outlineLevel="0" collapsed="false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</row>
    <row r="813" customFormat="false" ht="15" hidden="false" customHeight="false" outlineLevel="0" collapsed="false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</row>
    <row r="814" customFormat="false" ht="15" hidden="false" customHeight="false" outlineLevel="0" collapsed="false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</row>
    <row r="815" customFormat="false" ht="15" hidden="false" customHeight="false" outlineLevel="0" collapsed="false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</row>
    <row r="816" customFormat="false" ht="15" hidden="false" customHeight="false" outlineLevel="0" collapsed="false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</row>
    <row r="817" customFormat="false" ht="15" hidden="false" customHeight="false" outlineLevel="0" collapsed="false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</row>
    <row r="818" customFormat="false" ht="15" hidden="false" customHeight="false" outlineLevel="0" collapsed="false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</row>
    <row r="819" customFormat="false" ht="15" hidden="false" customHeight="false" outlineLevel="0" collapsed="false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</row>
    <row r="820" customFormat="false" ht="15" hidden="false" customHeight="false" outlineLevel="0" collapsed="false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</row>
    <row r="821" customFormat="false" ht="15" hidden="false" customHeight="false" outlineLevel="0" collapsed="false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</row>
    <row r="822" customFormat="false" ht="15" hidden="false" customHeight="false" outlineLevel="0" collapsed="false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</row>
    <row r="823" customFormat="false" ht="15" hidden="false" customHeight="false" outlineLevel="0" collapsed="false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</row>
    <row r="824" customFormat="false" ht="15" hidden="false" customHeight="false" outlineLevel="0" collapsed="false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</row>
    <row r="825" customFormat="false" ht="15" hidden="false" customHeight="false" outlineLevel="0" collapsed="false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</row>
    <row r="826" customFormat="false" ht="15" hidden="false" customHeight="false" outlineLevel="0" collapsed="false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</row>
    <row r="827" customFormat="false" ht="15" hidden="false" customHeight="false" outlineLevel="0" collapsed="false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</row>
    <row r="828" customFormat="false" ht="15" hidden="false" customHeight="false" outlineLevel="0" collapsed="false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</row>
    <row r="829" customFormat="false" ht="15" hidden="false" customHeight="false" outlineLevel="0" collapsed="false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</row>
    <row r="830" customFormat="false" ht="15" hidden="false" customHeight="false" outlineLevel="0" collapsed="false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</row>
    <row r="831" customFormat="false" ht="15" hidden="false" customHeight="false" outlineLevel="0" collapsed="false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</row>
    <row r="832" customFormat="false" ht="15" hidden="false" customHeight="false" outlineLevel="0" collapsed="false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</row>
    <row r="833" customFormat="false" ht="15" hidden="false" customHeight="false" outlineLevel="0" collapsed="false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</row>
    <row r="834" customFormat="false" ht="15" hidden="false" customHeight="false" outlineLevel="0" collapsed="false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</row>
    <row r="835" customFormat="false" ht="15" hidden="false" customHeight="false" outlineLevel="0" collapsed="false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</row>
    <row r="836" customFormat="false" ht="15" hidden="false" customHeight="false" outlineLevel="0" collapsed="false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</row>
    <row r="837" customFormat="false" ht="15" hidden="false" customHeight="false" outlineLevel="0" collapsed="false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</row>
    <row r="838" customFormat="false" ht="15" hidden="false" customHeight="false" outlineLevel="0" collapsed="false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</row>
    <row r="839" customFormat="false" ht="15" hidden="false" customHeight="false" outlineLevel="0" collapsed="false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</row>
    <row r="840" customFormat="false" ht="15" hidden="false" customHeight="false" outlineLevel="0" collapsed="false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</row>
    <row r="841" customFormat="false" ht="15" hidden="false" customHeight="false" outlineLevel="0" collapsed="false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</row>
    <row r="842" customFormat="false" ht="15" hidden="false" customHeight="false" outlineLevel="0" collapsed="false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</row>
    <row r="843" customFormat="false" ht="15" hidden="false" customHeight="false" outlineLevel="0" collapsed="false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</row>
    <row r="844" customFormat="false" ht="15" hidden="false" customHeight="false" outlineLevel="0" collapsed="false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</row>
    <row r="845" customFormat="false" ht="15" hidden="false" customHeight="false" outlineLevel="0" collapsed="false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</row>
    <row r="846" customFormat="false" ht="15" hidden="false" customHeight="false" outlineLevel="0" collapsed="false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</row>
    <row r="847" customFormat="false" ht="15" hidden="false" customHeight="false" outlineLevel="0" collapsed="false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</row>
    <row r="848" customFormat="false" ht="15" hidden="false" customHeight="false" outlineLevel="0" collapsed="false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</row>
    <row r="849" customFormat="false" ht="15" hidden="false" customHeight="false" outlineLevel="0" collapsed="false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</row>
    <row r="850" customFormat="false" ht="15" hidden="false" customHeight="false" outlineLevel="0" collapsed="false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</row>
    <row r="851" customFormat="false" ht="15" hidden="false" customHeight="false" outlineLevel="0" collapsed="false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</row>
    <row r="852" customFormat="false" ht="15" hidden="false" customHeight="false" outlineLevel="0" collapsed="false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</row>
    <row r="853" customFormat="false" ht="15" hidden="false" customHeight="false" outlineLevel="0" collapsed="false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</row>
    <row r="854" customFormat="false" ht="15" hidden="false" customHeight="false" outlineLevel="0" collapsed="false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</row>
    <row r="855" customFormat="false" ht="15" hidden="false" customHeight="false" outlineLevel="0" collapsed="false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</row>
    <row r="856" customFormat="false" ht="15" hidden="false" customHeight="false" outlineLevel="0" collapsed="false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</row>
    <row r="857" customFormat="false" ht="15" hidden="false" customHeight="false" outlineLevel="0" collapsed="false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</row>
    <row r="858" customFormat="false" ht="15" hidden="false" customHeight="false" outlineLevel="0" collapsed="false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</row>
    <row r="859" customFormat="false" ht="15" hidden="false" customHeight="false" outlineLevel="0" collapsed="false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</row>
    <row r="860" customFormat="false" ht="15" hidden="false" customHeight="false" outlineLevel="0" collapsed="false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</row>
    <row r="861" customFormat="false" ht="15" hidden="false" customHeight="false" outlineLevel="0" collapsed="false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</row>
    <row r="862" customFormat="false" ht="15" hidden="false" customHeight="false" outlineLevel="0" collapsed="false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</row>
    <row r="863" customFormat="false" ht="15" hidden="false" customHeight="false" outlineLevel="0" collapsed="false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</row>
    <row r="864" customFormat="false" ht="15" hidden="false" customHeight="false" outlineLevel="0" collapsed="false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</row>
    <row r="865" customFormat="false" ht="15" hidden="false" customHeight="false" outlineLevel="0" collapsed="false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</row>
    <row r="866" customFormat="false" ht="15" hidden="false" customHeight="false" outlineLevel="0" collapsed="false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</row>
    <row r="867" customFormat="false" ht="15" hidden="false" customHeight="false" outlineLevel="0" collapsed="false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</row>
    <row r="868" customFormat="false" ht="15" hidden="false" customHeight="false" outlineLevel="0" collapsed="false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</row>
    <row r="869" customFormat="false" ht="15" hidden="false" customHeight="false" outlineLevel="0" collapsed="false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</row>
    <row r="870" customFormat="false" ht="15" hidden="false" customHeight="false" outlineLevel="0" collapsed="false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</row>
    <row r="871" customFormat="false" ht="15" hidden="false" customHeight="false" outlineLevel="0" collapsed="false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</row>
    <row r="872" customFormat="false" ht="15" hidden="false" customHeight="false" outlineLevel="0" collapsed="false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</row>
    <row r="873" customFormat="false" ht="15" hidden="false" customHeight="false" outlineLevel="0" collapsed="false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</row>
    <row r="874" customFormat="false" ht="15" hidden="false" customHeight="false" outlineLevel="0" collapsed="false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</row>
    <row r="875" customFormat="false" ht="15" hidden="false" customHeight="false" outlineLevel="0" collapsed="false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</row>
    <row r="876" customFormat="false" ht="15" hidden="false" customHeight="false" outlineLevel="0" collapsed="false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</row>
    <row r="877" customFormat="false" ht="15" hidden="false" customHeight="false" outlineLevel="0" collapsed="false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</row>
    <row r="878" customFormat="false" ht="15" hidden="false" customHeight="false" outlineLevel="0" collapsed="false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</row>
    <row r="879" customFormat="false" ht="15" hidden="false" customHeight="false" outlineLevel="0" collapsed="false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</row>
    <row r="880" customFormat="false" ht="15" hidden="false" customHeight="false" outlineLevel="0" collapsed="false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</row>
    <row r="881" customFormat="false" ht="15" hidden="false" customHeight="false" outlineLevel="0" collapsed="false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</row>
    <row r="882" customFormat="false" ht="15" hidden="false" customHeight="false" outlineLevel="0" collapsed="false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</row>
    <row r="883" customFormat="false" ht="15" hidden="false" customHeight="false" outlineLevel="0" collapsed="false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</row>
    <row r="884" customFormat="false" ht="15" hidden="false" customHeight="false" outlineLevel="0" collapsed="false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</row>
    <row r="885" customFormat="false" ht="15" hidden="false" customHeight="false" outlineLevel="0" collapsed="false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</row>
    <row r="886" customFormat="false" ht="15" hidden="false" customHeight="false" outlineLevel="0" collapsed="false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</row>
    <row r="887" customFormat="false" ht="15" hidden="false" customHeight="false" outlineLevel="0" collapsed="false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</row>
    <row r="888" customFormat="false" ht="15" hidden="false" customHeight="false" outlineLevel="0" collapsed="false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</row>
    <row r="889" customFormat="false" ht="15" hidden="false" customHeight="false" outlineLevel="0" collapsed="false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</row>
    <row r="890" customFormat="false" ht="15" hidden="false" customHeight="false" outlineLevel="0" collapsed="false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</row>
    <row r="891" customFormat="false" ht="15" hidden="false" customHeight="false" outlineLevel="0" collapsed="false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</row>
    <row r="892" customFormat="false" ht="15" hidden="false" customHeight="false" outlineLevel="0" collapsed="false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</row>
    <row r="893" customFormat="false" ht="15" hidden="false" customHeight="false" outlineLevel="0" collapsed="false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</row>
    <row r="894" customFormat="false" ht="15" hidden="false" customHeight="false" outlineLevel="0" collapsed="false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</row>
    <row r="895" customFormat="false" ht="15" hidden="false" customHeight="false" outlineLevel="0" collapsed="false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</row>
    <row r="896" customFormat="false" ht="15" hidden="false" customHeight="false" outlineLevel="0" collapsed="false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</row>
    <row r="897" customFormat="false" ht="15" hidden="false" customHeight="false" outlineLevel="0" collapsed="false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</row>
    <row r="898" customFormat="false" ht="15" hidden="false" customHeight="false" outlineLevel="0" collapsed="false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</row>
    <row r="899" customFormat="false" ht="15" hidden="false" customHeight="false" outlineLevel="0" collapsed="false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</row>
    <row r="900" customFormat="false" ht="15" hidden="false" customHeight="false" outlineLevel="0" collapsed="false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</row>
    <row r="901" customFormat="false" ht="15" hidden="false" customHeight="false" outlineLevel="0" collapsed="false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</row>
    <row r="902" customFormat="false" ht="15" hidden="false" customHeight="false" outlineLevel="0" collapsed="false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</row>
    <row r="903" customFormat="false" ht="15" hidden="false" customHeight="false" outlineLevel="0" collapsed="false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</row>
    <row r="904" customFormat="false" ht="15" hidden="false" customHeight="false" outlineLevel="0" collapsed="false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</row>
    <row r="905" customFormat="false" ht="15" hidden="false" customHeight="false" outlineLevel="0" collapsed="false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</row>
    <row r="906" customFormat="false" ht="15" hidden="false" customHeight="false" outlineLevel="0" collapsed="false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</row>
    <row r="907" customFormat="false" ht="15" hidden="false" customHeight="false" outlineLevel="0" collapsed="false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</row>
    <row r="908" customFormat="false" ht="15" hidden="false" customHeight="false" outlineLevel="0" collapsed="false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</row>
    <row r="909" customFormat="false" ht="15" hidden="false" customHeight="false" outlineLevel="0" collapsed="false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</row>
    <row r="910" customFormat="false" ht="15" hidden="false" customHeight="false" outlineLevel="0" collapsed="false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</row>
    <row r="911" customFormat="false" ht="15" hidden="false" customHeight="false" outlineLevel="0" collapsed="false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</row>
    <row r="912" customFormat="false" ht="15" hidden="false" customHeight="false" outlineLevel="0" collapsed="false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</row>
    <row r="913" customFormat="false" ht="15" hidden="false" customHeight="false" outlineLevel="0" collapsed="false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</row>
    <row r="914" customFormat="false" ht="15" hidden="false" customHeight="false" outlineLevel="0" collapsed="false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</row>
    <row r="915" customFormat="false" ht="15" hidden="false" customHeight="false" outlineLevel="0" collapsed="false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</row>
    <row r="916" customFormat="false" ht="15" hidden="false" customHeight="false" outlineLevel="0" collapsed="false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</row>
    <row r="917" customFormat="false" ht="15" hidden="false" customHeight="false" outlineLevel="0" collapsed="false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</row>
    <row r="918" customFormat="false" ht="15" hidden="false" customHeight="false" outlineLevel="0" collapsed="false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</row>
    <row r="919" customFormat="false" ht="15" hidden="false" customHeight="false" outlineLevel="0" collapsed="false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</row>
    <row r="920" customFormat="false" ht="15" hidden="false" customHeight="false" outlineLevel="0" collapsed="false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</row>
    <row r="921" customFormat="false" ht="15" hidden="false" customHeight="false" outlineLevel="0" collapsed="false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</row>
    <row r="922" customFormat="false" ht="15" hidden="false" customHeight="false" outlineLevel="0" collapsed="false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</row>
    <row r="923" customFormat="false" ht="15" hidden="false" customHeight="false" outlineLevel="0" collapsed="false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</row>
    <row r="924" customFormat="false" ht="15" hidden="false" customHeight="false" outlineLevel="0" collapsed="false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</row>
    <row r="925" customFormat="false" ht="15" hidden="false" customHeight="false" outlineLevel="0" collapsed="false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</row>
    <row r="926" customFormat="false" ht="15" hidden="false" customHeight="false" outlineLevel="0" collapsed="false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</row>
    <row r="927" customFormat="false" ht="15" hidden="false" customHeight="false" outlineLevel="0" collapsed="false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</row>
    <row r="928" customFormat="false" ht="15" hidden="false" customHeight="false" outlineLevel="0" collapsed="false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</row>
    <row r="929" customFormat="false" ht="15" hidden="false" customHeight="false" outlineLevel="0" collapsed="false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</row>
    <row r="930" customFormat="false" ht="15" hidden="false" customHeight="false" outlineLevel="0" collapsed="false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</row>
    <row r="931" customFormat="false" ht="15" hidden="false" customHeight="false" outlineLevel="0" collapsed="false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</row>
    <row r="932" customFormat="false" ht="15" hidden="false" customHeight="false" outlineLevel="0" collapsed="false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</row>
    <row r="933" customFormat="false" ht="15" hidden="false" customHeight="false" outlineLevel="0" collapsed="false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</row>
    <row r="934" customFormat="false" ht="15" hidden="false" customHeight="false" outlineLevel="0" collapsed="false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</row>
    <row r="935" customFormat="false" ht="15" hidden="false" customHeight="false" outlineLevel="0" collapsed="false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</row>
    <row r="936" customFormat="false" ht="15" hidden="false" customHeight="false" outlineLevel="0" collapsed="false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</row>
    <row r="937" customFormat="false" ht="15" hidden="false" customHeight="false" outlineLevel="0" collapsed="false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</row>
    <row r="938" customFormat="false" ht="15" hidden="false" customHeight="false" outlineLevel="0" collapsed="false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</row>
    <row r="939" customFormat="false" ht="15" hidden="false" customHeight="false" outlineLevel="0" collapsed="false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</row>
    <row r="940" customFormat="false" ht="15" hidden="false" customHeight="false" outlineLevel="0" collapsed="false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</row>
    <row r="941" customFormat="false" ht="15" hidden="false" customHeight="false" outlineLevel="0" collapsed="false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</row>
    <row r="942" customFormat="false" ht="15" hidden="false" customHeight="false" outlineLevel="0" collapsed="false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</row>
    <row r="943" customFormat="false" ht="15" hidden="false" customHeight="false" outlineLevel="0" collapsed="false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</row>
    <row r="944" customFormat="false" ht="15" hidden="false" customHeight="false" outlineLevel="0" collapsed="false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</row>
    <row r="945" customFormat="false" ht="15" hidden="false" customHeight="false" outlineLevel="0" collapsed="false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</row>
    <row r="946" customFormat="false" ht="15" hidden="false" customHeight="false" outlineLevel="0" collapsed="false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</row>
    <row r="947" customFormat="false" ht="15" hidden="false" customHeight="false" outlineLevel="0" collapsed="false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</row>
    <row r="948" customFormat="false" ht="15" hidden="false" customHeight="false" outlineLevel="0" collapsed="false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</row>
    <row r="949" customFormat="false" ht="15" hidden="false" customHeight="false" outlineLevel="0" collapsed="false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</row>
    <row r="950" customFormat="false" ht="15" hidden="false" customHeight="false" outlineLevel="0" collapsed="false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</row>
    <row r="951" customFormat="false" ht="15" hidden="false" customHeight="false" outlineLevel="0" collapsed="false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</row>
    <row r="952" customFormat="false" ht="15" hidden="false" customHeight="false" outlineLevel="0" collapsed="false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</row>
    <row r="953" customFormat="false" ht="15" hidden="false" customHeight="false" outlineLevel="0" collapsed="false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</row>
    <row r="954" customFormat="false" ht="15" hidden="false" customHeight="false" outlineLevel="0" collapsed="false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</row>
    <row r="955" customFormat="false" ht="15" hidden="false" customHeight="false" outlineLevel="0" collapsed="false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</row>
    <row r="956" customFormat="false" ht="15" hidden="false" customHeight="false" outlineLevel="0" collapsed="false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</row>
    <row r="957" customFormat="false" ht="15" hidden="false" customHeight="false" outlineLevel="0" collapsed="false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</row>
    <row r="958" customFormat="false" ht="15" hidden="false" customHeight="false" outlineLevel="0" collapsed="false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</row>
    <row r="959" customFormat="false" ht="15" hidden="false" customHeight="false" outlineLevel="0" collapsed="false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</row>
    <row r="960" customFormat="false" ht="15" hidden="false" customHeight="false" outlineLevel="0" collapsed="false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</row>
    <row r="961" customFormat="false" ht="15" hidden="false" customHeight="false" outlineLevel="0" collapsed="false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</row>
    <row r="962" customFormat="false" ht="15" hidden="false" customHeight="false" outlineLevel="0" collapsed="false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</row>
    <row r="963" customFormat="false" ht="15" hidden="false" customHeight="false" outlineLevel="0" collapsed="false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</row>
    <row r="964" customFormat="false" ht="15" hidden="false" customHeight="false" outlineLevel="0" collapsed="false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</row>
    <row r="965" customFormat="false" ht="15" hidden="false" customHeight="false" outlineLevel="0" collapsed="false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</row>
    <row r="966" customFormat="false" ht="15" hidden="false" customHeight="false" outlineLevel="0" collapsed="false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</row>
    <row r="967" customFormat="false" ht="15" hidden="false" customHeight="false" outlineLevel="0" collapsed="false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</row>
    <row r="968" customFormat="false" ht="15" hidden="false" customHeight="false" outlineLevel="0" collapsed="false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</row>
    <row r="969" customFormat="false" ht="15" hidden="false" customHeight="false" outlineLevel="0" collapsed="false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</row>
    <row r="970" customFormat="false" ht="15" hidden="false" customHeight="false" outlineLevel="0" collapsed="false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</row>
    <row r="971" customFormat="false" ht="15" hidden="false" customHeight="false" outlineLevel="0" collapsed="false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</row>
    <row r="972" customFormat="false" ht="15" hidden="false" customHeight="false" outlineLevel="0" collapsed="false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</row>
    <row r="973" customFormat="false" ht="15" hidden="false" customHeight="false" outlineLevel="0" collapsed="false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</row>
    <row r="974" customFormat="false" ht="15" hidden="false" customHeight="false" outlineLevel="0" collapsed="false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</row>
    <row r="975" customFormat="false" ht="15" hidden="false" customHeight="false" outlineLevel="0" collapsed="false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</row>
    <row r="976" customFormat="false" ht="15" hidden="false" customHeight="false" outlineLevel="0" collapsed="false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</row>
    <row r="977" customFormat="false" ht="15" hidden="false" customHeight="false" outlineLevel="0" collapsed="false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</row>
    <row r="978" customFormat="false" ht="15" hidden="false" customHeight="false" outlineLevel="0" collapsed="false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</row>
    <row r="979" customFormat="false" ht="15" hidden="false" customHeight="false" outlineLevel="0" collapsed="false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</row>
    <row r="980" customFormat="false" ht="15" hidden="false" customHeight="false" outlineLevel="0" collapsed="false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</row>
    <row r="981" customFormat="false" ht="15" hidden="false" customHeight="false" outlineLevel="0" collapsed="false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</row>
    <row r="982" customFormat="false" ht="15" hidden="false" customHeight="false" outlineLevel="0" collapsed="false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</row>
    <row r="983" customFormat="false" ht="15" hidden="false" customHeight="false" outlineLevel="0" collapsed="false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</row>
    <row r="984" customFormat="false" ht="15" hidden="false" customHeight="false" outlineLevel="0" collapsed="false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</row>
    <row r="985" customFormat="false" ht="15" hidden="false" customHeight="false" outlineLevel="0" collapsed="false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</row>
    <row r="986" customFormat="false" ht="15" hidden="false" customHeight="false" outlineLevel="0" collapsed="false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</row>
    <row r="987" customFormat="false" ht="15" hidden="false" customHeight="false" outlineLevel="0" collapsed="false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</row>
    <row r="988" customFormat="false" ht="15" hidden="false" customHeight="false" outlineLevel="0" collapsed="false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</row>
    <row r="989" customFormat="false" ht="15" hidden="false" customHeight="false" outlineLevel="0" collapsed="false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</row>
    <row r="990" customFormat="false" ht="15" hidden="false" customHeight="false" outlineLevel="0" collapsed="false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</row>
    <row r="991" customFormat="false" ht="15" hidden="false" customHeight="false" outlineLevel="0" collapsed="false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</row>
    <row r="992" customFormat="false" ht="15" hidden="false" customHeight="false" outlineLevel="0" collapsed="false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</row>
    <row r="993" customFormat="false" ht="15" hidden="false" customHeight="false" outlineLevel="0" collapsed="false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</row>
    <row r="994" customFormat="false" ht="15" hidden="false" customHeight="false" outlineLevel="0" collapsed="false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</row>
    <row r="995" customFormat="false" ht="15" hidden="false" customHeight="false" outlineLevel="0" collapsed="false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</row>
    <row r="996" customFormat="false" ht="15" hidden="false" customHeight="false" outlineLevel="0" collapsed="false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</row>
    <row r="997" customFormat="false" ht="15" hidden="false" customHeight="false" outlineLevel="0" collapsed="false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</row>
    <row r="998" customFormat="false" ht="15" hidden="false" customHeight="false" outlineLevel="0" collapsed="false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</row>
    <row r="999" customFormat="false" ht="15" hidden="false" customHeight="false" outlineLevel="0" collapsed="false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</row>
    <row r="1000" customFormat="false" ht="15" hidden="false" customHeight="false" outlineLevel="0" collapsed="false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</row>
    <row r="1001" customFormat="false" ht="15" hidden="false" customHeight="false" outlineLevel="0" collapsed="false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  <c r="T1001" s="69"/>
      <c r="U1001" s="69"/>
      <c r="V1001" s="69"/>
      <c r="W1001" s="69"/>
      <c r="X1001" s="69"/>
      <c r="Y1001" s="69"/>
    </row>
    <row r="1002" customFormat="false" ht="15" hidden="false" customHeight="false" outlineLevel="0" collapsed="false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  <c r="T1002" s="69"/>
      <c r="U1002" s="69"/>
      <c r="V1002" s="69"/>
      <c r="W1002" s="69"/>
      <c r="X1002" s="69"/>
      <c r="Y1002" s="69"/>
    </row>
    <row r="1003" customFormat="false" ht="15" hidden="false" customHeight="false" outlineLevel="0" collapsed="false">
      <c r="A1003" s="69"/>
      <c r="B1003" s="69"/>
      <c r="C1003" s="69"/>
      <c r="D1003" s="69"/>
      <c r="E1003" s="69"/>
      <c r="F1003" s="69"/>
      <c r="G1003" s="69"/>
      <c r="H1003" s="69"/>
      <c r="I1003" s="69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  <c r="T1003" s="69"/>
      <c r="U1003" s="69"/>
      <c r="V1003" s="69"/>
      <c r="W1003" s="69"/>
      <c r="X1003" s="69"/>
      <c r="Y1003" s="69"/>
    </row>
    <row r="1004" customFormat="false" ht="15" hidden="false" customHeight="false" outlineLevel="0" collapsed="false">
      <c r="A1004" s="69"/>
      <c r="B1004" s="69"/>
      <c r="C1004" s="69"/>
      <c r="D1004" s="69"/>
      <c r="E1004" s="69"/>
      <c r="F1004" s="69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69"/>
      <c r="U1004" s="69"/>
      <c r="V1004" s="69"/>
      <c r="W1004" s="69"/>
      <c r="X1004" s="69"/>
      <c r="Y1004" s="69"/>
    </row>
    <row r="1005" customFormat="false" ht="15" hidden="false" customHeight="false" outlineLevel="0" collapsed="false">
      <c r="A1005" s="69"/>
      <c r="B1005" s="69"/>
      <c r="C1005" s="69"/>
      <c r="D1005" s="69"/>
      <c r="E1005" s="69"/>
      <c r="F1005" s="69"/>
      <c r="G1005" s="69"/>
      <c r="H1005" s="69"/>
      <c r="I1005" s="69"/>
      <c r="J1005" s="69"/>
      <c r="K1005" s="69"/>
      <c r="L1005" s="69"/>
      <c r="M1005" s="69"/>
      <c r="N1005" s="69"/>
      <c r="O1005" s="69"/>
      <c r="P1005" s="69"/>
      <c r="Q1005" s="69"/>
      <c r="R1005" s="69"/>
      <c r="S1005" s="69"/>
      <c r="T1005" s="69"/>
      <c r="U1005" s="69"/>
      <c r="V1005" s="69"/>
      <c r="W1005" s="69"/>
      <c r="X1005" s="69"/>
      <c r="Y1005" s="69"/>
    </row>
    <row r="1006" customFormat="false" ht="15" hidden="false" customHeight="false" outlineLevel="0" collapsed="false">
      <c r="A1006" s="69"/>
      <c r="B1006" s="69"/>
      <c r="C1006" s="69"/>
      <c r="D1006" s="69"/>
      <c r="E1006" s="69"/>
      <c r="F1006" s="69"/>
      <c r="G1006" s="69"/>
      <c r="H1006" s="69"/>
      <c r="I1006" s="69"/>
      <c r="J1006" s="69"/>
      <c r="K1006" s="69"/>
      <c r="L1006" s="69"/>
      <c r="M1006" s="69"/>
      <c r="N1006" s="69"/>
      <c r="O1006" s="69"/>
      <c r="P1006" s="69"/>
      <c r="Q1006" s="69"/>
      <c r="R1006" s="69"/>
      <c r="S1006" s="69"/>
      <c r="T1006" s="69"/>
      <c r="U1006" s="69"/>
      <c r="V1006" s="69"/>
      <c r="W1006" s="69"/>
      <c r="X1006" s="69"/>
      <c r="Y1006" s="69"/>
    </row>
    <row r="1007" customFormat="false" ht="15" hidden="false" customHeight="false" outlineLevel="0" collapsed="false">
      <c r="A1007" s="69"/>
      <c r="B1007" s="69"/>
      <c r="C1007" s="69"/>
      <c r="D1007" s="69"/>
      <c r="E1007" s="69"/>
      <c r="F1007" s="69"/>
      <c r="G1007" s="69"/>
      <c r="H1007" s="69"/>
      <c r="I1007" s="69"/>
      <c r="J1007" s="69"/>
      <c r="K1007" s="69"/>
      <c r="L1007" s="69"/>
      <c r="M1007" s="69"/>
      <c r="N1007" s="69"/>
      <c r="O1007" s="69"/>
      <c r="P1007" s="69"/>
      <c r="Q1007" s="69"/>
      <c r="R1007" s="69"/>
      <c r="S1007" s="69"/>
      <c r="T1007" s="69"/>
      <c r="U1007" s="69"/>
      <c r="V1007" s="69"/>
      <c r="W1007" s="69"/>
      <c r="X1007" s="69"/>
      <c r="Y1007" s="69"/>
    </row>
  </sheetData>
  <mergeCells count="100">
    <mergeCell ref="A1:K1"/>
    <mergeCell ref="A19:A21"/>
    <mergeCell ref="B19:B21"/>
    <mergeCell ref="C19:C21"/>
    <mergeCell ref="D19:D21"/>
    <mergeCell ref="E19:E21"/>
    <mergeCell ref="F19:F21"/>
    <mergeCell ref="I19:I21"/>
    <mergeCell ref="J19:J21"/>
    <mergeCell ref="K19:K21"/>
    <mergeCell ref="A23:A25"/>
    <mergeCell ref="B23:B25"/>
    <mergeCell ref="C23:C25"/>
    <mergeCell ref="D23:D25"/>
    <mergeCell ref="E23:E25"/>
    <mergeCell ref="F23:F25"/>
    <mergeCell ref="I23:I25"/>
    <mergeCell ref="J23:J25"/>
    <mergeCell ref="K23:K25"/>
    <mergeCell ref="A29:A30"/>
    <mergeCell ref="B29:B30"/>
    <mergeCell ref="C29:C30"/>
    <mergeCell ref="D29:D30"/>
    <mergeCell ref="E29:E30"/>
    <mergeCell ref="F29:F30"/>
    <mergeCell ref="I29:I30"/>
    <mergeCell ref="J29:J30"/>
    <mergeCell ref="K29:K30"/>
    <mergeCell ref="A31:A33"/>
    <mergeCell ref="B31:B33"/>
    <mergeCell ref="C31:C33"/>
    <mergeCell ref="D31:D33"/>
    <mergeCell ref="E31:E33"/>
    <mergeCell ref="F31:F33"/>
    <mergeCell ref="I31:I33"/>
    <mergeCell ref="J31:J33"/>
    <mergeCell ref="K31:K33"/>
    <mergeCell ref="A34:A35"/>
    <mergeCell ref="B34:B35"/>
    <mergeCell ref="C34:C35"/>
    <mergeCell ref="D34:D35"/>
    <mergeCell ref="E34:E35"/>
    <mergeCell ref="F34:F35"/>
    <mergeCell ref="I34:I35"/>
    <mergeCell ref="J34:J35"/>
    <mergeCell ref="K34:K35"/>
    <mergeCell ref="A36:A37"/>
    <mergeCell ref="B36:B37"/>
    <mergeCell ref="C36:C37"/>
    <mergeCell ref="D36:D37"/>
    <mergeCell ref="E36:E37"/>
    <mergeCell ref="F36:F37"/>
    <mergeCell ref="I36:I37"/>
    <mergeCell ref="J36:J37"/>
    <mergeCell ref="K36:K37"/>
    <mergeCell ref="A38:A39"/>
    <mergeCell ref="B38:B39"/>
    <mergeCell ref="C38:C39"/>
    <mergeCell ref="D38:D39"/>
    <mergeCell ref="E38:E39"/>
    <mergeCell ref="F38:F39"/>
    <mergeCell ref="I38:I39"/>
    <mergeCell ref="J38:J39"/>
    <mergeCell ref="K38:K39"/>
    <mergeCell ref="A42:A43"/>
    <mergeCell ref="B42:B43"/>
    <mergeCell ref="C42:C43"/>
    <mergeCell ref="D42:D43"/>
    <mergeCell ref="E42:E43"/>
    <mergeCell ref="F42:F43"/>
    <mergeCell ref="I42:I43"/>
    <mergeCell ref="J42:J43"/>
    <mergeCell ref="K42:K43"/>
    <mergeCell ref="A44:A45"/>
    <mergeCell ref="B44:B45"/>
    <mergeCell ref="C44:C45"/>
    <mergeCell ref="D44:D45"/>
    <mergeCell ref="E44:E45"/>
    <mergeCell ref="F44:F45"/>
    <mergeCell ref="I44:I45"/>
    <mergeCell ref="J44:J45"/>
    <mergeCell ref="K44:K45"/>
    <mergeCell ref="A51:A52"/>
    <mergeCell ref="B51:B52"/>
    <mergeCell ref="C51:C52"/>
    <mergeCell ref="D51:D52"/>
    <mergeCell ref="E51:E52"/>
    <mergeCell ref="F51:F52"/>
    <mergeCell ref="I51:I52"/>
    <mergeCell ref="J51:J52"/>
    <mergeCell ref="K51:K52"/>
    <mergeCell ref="A53:A55"/>
    <mergeCell ref="B53:B55"/>
    <mergeCell ref="C53:C55"/>
    <mergeCell ref="D53:D55"/>
    <mergeCell ref="E53:E55"/>
    <mergeCell ref="F53:F55"/>
    <mergeCell ref="I53:I55"/>
    <mergeCell ref="J53:J55"/>
    <mergeCell ref="K53:K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Z9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21.86"/>
    <col collapsed="false" customWidth="true" hidden="false" outlineLevel="0" max="2" min="2" style="0" width="17.14"/>
    <col collapsed="false" customWidth="true" hidden="false" outlineLevel="0" max="3" min="3" style="0" width="19.71"/>
    <col collapsed="false" customWidth="true" hidden="false" outlineLevel="0" max="4" min="4" style="0" width="11.43"/>
    <col collapsed="false" customWidth="true" hidden="false" outlineLevel="0" max="5" min="5" style="0" width="15.29"/>
    <col collapsed="false" customWidth="true" hidden="false" outlineLevel="0" max="6" min="6" style="0" width="30.57"/>
    <col collapsed="false" customWidth="true" hidden="false" outlineLevel="0" max="7" min="7" style="0" width="25.71"/>
    <col collapsed="false" customWidth="true" hidden="false" outlineLevel="0" max="8" min="8" style="0" width="43.43"/>
    <col collapsed="false" customWidth="true" hidden="false" outlineLevel="0" max="9" min="9" style="0" width="21.57"/>
    <col collapsed="false" customWidth="true" hidden="false" outlineLevel="0" max="10" min="10" style="0" width="19.14"/>
    <col collapsed="false" customWidth="true" hidden="false" outlineLevel="0" max="11" min="11" style="0" width="23.14"/>
    <col collapsed="false" customWidth="true" hidden="false" outlineLevel="0" max="26" min="12" style="0" width="8.71"/>
  </cols>
  <sheetData>
    <row r="1" customFormat="false" ht="36.75" hidden="false" customHeight="true" outlineLevel="0" collapsed="false">
      <c r="A1" s="77"/>
      <c r="B1" s="77"/>
      <c r="C1" s="77"/>
      <c r="D1" s="77"/>
      <c r="E1" s="77"/>
      <c r="F1" s="77"/>
      <c r="G1" s="77"/>
      <c r="H1" s="77"/>
      <c r="I1" s="77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customFormat="false" ht="14.25" hidden="false" customHeight="true" outlineLevel="0" collapsed="false">
      <c r="A2" s="78" t="s">
        <v>53</v>
      </c>
      <c r="B2" s="78" t="s">
        <v>54</v>
      </c>
      <c r="C2" s="78" t="s">
        <v>67</v>
      </c>
      <c r="D2" s="78" t="s">
        <v>68</v>
      </c>
      <c r="E2" s="86" t="s">
        <v>248</v>
      </c>
      <c r="F2" s="87" t="s">
        <v>250</v>
      </c>
      <c r="G2" s="87" t="s">
        <v>252</v>
      </c>
      <c r="H2" s="87" t="s">
        <v>254</v>
      </c>
      <c r="I2" s="88" t="s">
        <v>256</v>
      </c>
      <c r="J2" s="68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customFormat="false" ht="14.25" hidden="false" customHeight="true" outlineLevel="0" collapsed="false">
      <c r="A3" s="79" t="s">
        <v>305</v>
      </c>
      <c r="B3" s="79" t="s">
        <v>306</v>
      </c>
      <c r="C3" s="79" t="s">
        <v>307</v>
      </c>
      <c r="D3" s="79" t="s">
        <v>308</v>
      </c>
      <c r="E3" s="89" t="n">
        <v>0.4</v>
      </c>
      <c r="F3" s="90" t="n">
        <v>20000</v>
      </c>
      <c r="G3" s="91" t="n">
        <v>40</v>
      </c>
      <c r="H3" s="91" t="n">
        <v>12</v>
      </c>
      <c r="I3" s="92" t="n">
        <v>4.2</v>
      </c>
      <c r="J3" s="68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customFormat="false" ht="14.25" hidden="false" customHeight="true" outlineLevel="0" collapsed="false">
      <c r="A4" s="79"/>
      <c r="B4" s="79"/>
      <c r="C4" s="79" t="s">
        <v>309</v>
      </c>
      <c r="D4" s="79" t="s">
        <v>308</v>
      </c>
      <c r="E4" s="89" t="n">
        <v>0.3</v>
      </c>
      <c r="F4" s="90" t="n">
        <v>15000</v>
      </c>
      <c r="G4" s="91" t="n">
        <v>35</v>
      </c>
      <c r="H4" s="91" t="n">
        <v>12</v>
      </c>
      <c r="I4" s="92" t="n">
        <v>4.1</v>
      </c>
      <c r="J4" s="68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customFormat="false" ht="14.25" hidden="false" customHeight="true" outlineLevel="0" collapsed="false">
      <c r="A5" s="79"/>
      <c r="B5" s="79"/>
      <c r="C5" s="79" t="s">
        <v>310</v>
      </c>
      <c r="D5" s="79" t="s">
        <v>311</v>
      </c>
      <c r="E5" s="89" t="n">
        <v>0.3</v>
      </c>
      <c r="F5" s="90" t="n">
        <v>25000</v>
      </c>
      <c r="G5" s="91" t="n">
        <v>45</v>
      </c>
      <c r="H5" s="91" t="n">
        <v>14</v>
      </c>
      <c r="I5" s="92" t="n">
        <v>4.15</v>
      </c>
      <c r="J5" s="68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customFormat="false" ht="14.25" hidden="false" customHeight="true" outlineLevel="0" collapsed="false">
      <c r="A6" s="79" t="s">
        <v>312</v>
      </c>
      <c r="B6" s="79" t="s">
        <v>313</v>
      </c>
      <c r="C6" s="79" t="s">
        <v>314</v>
      </c>
      <c r="D6" s="79" t="s">
        <v>315</v>
      </c>
      <c r="E6" s="89" t="n">
        <v>1</v>
      </c>
      <c r="F6" s="90" t="n">
        <v>30000</v>
      </c>
      <c r="G6" s="91" t="n">
        <v>20</v>
      </c>
      <c r="H6" s="91" t="n">
        <v>3</v>
      </c>
      <c r="I6" s="92" t="n">
        <v>2.9</v>
      </c>
      <c r="J6" s="68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customFormat="false" ht="14.25" hidden="false" customHeight="true" outlineLevel="0" collapsed="false">
      <c r="A7" s="79" t="s">
        <v>316</v>
      </c>
      <c r="B7" s="79" t="s">
        <v>317</v>
      </c>
      <c r="C7" s="79" t="s">
        <v>318</v>
      </c>
      <c r="D7" s="79" t="s">
        <v>315</v>
      </c>
      <c r="E7" s="89" t="n">
        <v>1</v>
      </c>
      <c r="F7" s="90" t="n">
        <v>10000</v>
      </c>
      <c r="G7" s="91" t="n">
        <v>18</v>
      </c>
      <c r="H7" s="91" t="n">
        <v>3</v>
      </c>
      <c r="I7" s="92" t="n">
        <v>3.6</v>
      </c>
      <c r="J7" s="68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customFormat="false" ht="14.25" hidden="false" customHeight="true" outlineLevel="0" collapsed="false">
      <c r="A8" s="79" t="s">
        <v>319</v>
      </c>
      <c r="B8" s="79" t="s">
        <v>320</v>
      </c>
      <c r="C8" s="79" t="s">
        <v>307</v>
      </c>
      <c r="D8" s="79" t="s">
        <v>308</v>
      </c>
      <c r="E8" s="89" t="n">
        <v>0.6</v>
      </c>
      <c r="F8" s="90" t="n">
        <v>20000</v>
      </c>
      <c r="G8" s="91" t="n">
        <v>40</v>
      </c>
      <c r="H8" s="91" t="n">
        <v>12</v>
      </c>
      <c r="I8" s="92" t="n">
        <v>8.5</v>
      </c>
      <c r="J8" s="68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customFormat="false" ht="14.25" hidden="false" customHeight="true" outlineLevel="0" collapsed="false">
      <c r="A9" s="79"/>
      <c r="B9" s="79"/>
      <c r="C9" s="79" t="s">
        <v>310</v>
      </c>
      <c r="D9" s="79" t="s">
        <v>311</v>
      </c>
      <c r="E9" s="89" t="n">
        <v>0.4</v>
      </c>
      <c r="F9" s="90" t="n">
        <v>25000</v>
      </c>
      <c r="G9" s="91" t="n">
        <v>45</v>
      </c>
      <c r="H9" s="91" t="n">
        <v>14</v>
      </c>
      <c r="I9" s="92" t="n">
        <v>8.4</v>
      </c>
      <c r="J9" s="68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customFormat="false" ht="14.25" hidden="false" customHeight="true" outlineLevel="0" collapsed="false">
      <c r="A10" s="79" t="s">
        <v>321</v>
      </c>
      <c r="B10" s="79" t="s">
        <v>322</v>
      </c>
      <c r="C10" s="79" t="s">
        <v>307</v>
      </c>
      <c r="D10" s="79" t="s">
        <v>308</v>
      </c>
      <c r="E10" s="89" t="n">
        <v>1</v>
      </c>
      <c r="F10" s="90" t="n">
        <v>20000</v>
      </c>
      <c r="G10" s="91" t="n">
        <v>42</v>
      </c>
      <c r="H10" s="91" t="n">
        <v>12</v>
      </c>
      <c r="I10" s="91" t="n">
        <v>9.5</v>
      </c>
      <c r="J10" s="68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customFormat="false" ht="14.25" hidden="false" customHeight="true" outlineLevel="0" collapsed="false">
      <c r="A11" s="79" t="s">
        <v>323</v>
      </c>
      <c r="B11" s="79" t="s">
        <v>324</v>
      </c>
      <c r="C11" s="79" t="s">
        <v>325</v>
      </c>
      <c r="D11" s="79" t="s">
        <v>315</v>
      </c>
      <c r="E11" s="89" t="n">
        <v>1</v>
      </c>
      <c r="F11" s="90" t="n">
        <v>10000</v>
      </c>
      <c r="G11" s="91" t="n">
        <v>22</v>
      </c>
      <c r="H11" s="91" t="n">
        <v>4</v>
      </c>
      <c r="I11" s="91" t="n">
        <v>2.5</v>
      </c>
      <c r="J11" s="68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customFormat="false" ht="14.25" hidden="false" customHeight="true" outlineLevel="0" collapsed="false">
      <c r="A12" s="79" t="s">
        <v>326</v>
      </c>
      <c r="B12" s="79" t="s">
        <v>327</v>
      </c>
      <c r="C12" s="79" t="s">
        <v>314</v>
      </c>
      <c r="D12" s="79" t="s">
        <v>315</v>
      </c>
      <c r="E12" s="89" t="n">
        <v>1</v>
      </c>
      <c r="F12" s="90" t="n">
        <v>20000</v>
      </c>
      <c r="G12" s="91" t="n">
        <v>18</v>
      </c>
      <c r="H12" s="91" t="n">
        <v>3</v>
      </c>
      <c r="I12" s="91" t="n">
        <v>1.1</v>
      </c>
      <c r="J12" s="68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customFormat="false" ht="14.25" hidden="false" customHeight="true" outlineLevel="0" collapsed="false">
      <c r="A13" s="79" t="s">
        <v>328</v>
      </c>
      <c r="B13" s="79" t="s">
        <v>329</v>
      </c>
      <c r="C13" s="79" t="s">
        <v>330</v>
      </c>
      <c r="D13" s="79" t="s">
        <v>308</v>
      </c>
      <c r="E13" s="89" t="n">
        <v>1</v>
      </c>
      <c r="F13" s="90" t="n">
        <v>15000</v>
      </c>
      <c r="G13" s="91" t="n">
        <v>40</v>
      </c>
      <c r="H13" s="91" t="n">
        <v>15</v>
      </c>
      <c r="I13" s="91" t="n">
        <v>19.5</v>
      </c>
      <c r="J13" s="68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customFormat="false" ht="14.25" hidden="false" customHeight="true" outlineLevel="0" collapsed="false">
      <c r="A14" s="85"/>
      <c r="B14" s="85"/>
      <c r="C14" s="85"/>
      <c r="D14" s="85"/>
      <c r="E14" s="85"/>
      <c r="F14" s="85"/>
      <c r="G14" s="85"/>
      <c r="H14" s="85"/>
      <c r="I14" s="85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customFormat="false" ht="14.25" hidden="false" customHeight="true" outlineLevel="0" collapsed="false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customFormat="false" ht="14.25" hidden="false" customHeight="true" outlineLevel="0" collapsed="false">
      <c r="A16" s="69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customFormat="false" ht="14.25" hidden="false" customHeight="true" outlineLevel="0" collapsed="false">
      <c r="A17" s="69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customFormat="false" ht="14.25" hidden="false" customHeight="true" outlineLevel="0" collapsed="false">
      <c r="A18" s="69"/>
      <c r="B18" s="69"/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customFormat="false" ht="14.25" hidden="false" customHeight="true" outlineLevel="0" collapsed="false">
      <c r="A19" s="69"/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customFormat="false" ht="14.25" hidden="false" customHeight="true" outlineLevel="0" collapsed="false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customFormat="false" ht="14.25" hidden="false" customHeight="true" outlineLevel="0" collapsed="false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customFormat="false" ht="14.25" hidden="false" customHeight="true" outlineLevel="0" collapsed="false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customFormat="false" ht="14.25" hidden="false" customHeight="true" outlineLevel="0" collapsed="false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customFormat="false" ht="14.25" hidden="false" customHeight="true" outlineLevel="0" collapsed="false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customFormat="false" ht="14.25" hidden="false" customHeight="true" outlineLevel="0" collapsed="false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customFormat="false" ht="14.25" hidden="false" customHeight="true" outlineLevel="0" collapsed="false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customFormat="false" ht="14.25" hidden="false" customHeight="true" outlineLevel="0" collapsed="false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customFormat="false" ht="14.25" hidden="false" customHeight="true" outlineLevel="0" collapsed="false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customFormat="false" ht="14.25" hidden="false" customHeight="true" outlineLevel="0" collapsed="false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customFormat="false" ht="14.25" hidden="false" customHeight="true" outlineLevel="0" collapsed="false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customFormat="false" ht="14.25" hidden="false" customHeight="true" outlineLevel="0" collapsed="false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customFormat="false" ht="14.25" hidden="false" customHeight="true" outlineLevel="0" collapsed="false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customFormat="false" ht="14.25" hidden="false" customHeight="true" outlineLevel="0" collapsed="false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customFormat="false" ht="14.25" hidden="false" customHeight="true" outlineLevel="0" collapsed="false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customFormat="false" ht="14.25" hidden="false" customHeight="tru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customFormat="false" ht="14.25" hidden="false" customHeight="true" outlineLevel="0" collapsed="false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customFormat="false" ht="14.25" hidden="false" customHeight="true" outlineLevel="0" collapsed="false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customFormat="false" ht="14.25" hidden="false" customHeight="true" outlineLevel="0" collapsed="false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customFormat="false" ht="14.25" hidden="false" customHeight="true" outlineLevel="0" collapsed="false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customFormat="false" ht="14.25" hidden="false" customHeight="true" outlineLevel="0" collapsed="false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customFormat="false" ht="14.25" hidden="false" customHeight="true" outlineLevel="0" collapsed="false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customFormat="false" ht="14.25" hidden="false" customHeight="true" outlineLevel="0" collapsed="false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customFormat="false" ht="14.25" hidden="false" customHeight="true" outlineLevel="0" collapsed="false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customFormat="false" ht="14.25" hidden="false" customHeight="true" outlineLevel="0" collapsed="false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customFormat="false" ht="14.25" hidden="false" customHeight="true" outlineLevel="0" collapsed="false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customFormat="false" ht="14.25" hidden="false" customHeight="true" outlineLevel="0" collapsed="false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customFormat="false" ht="14.25" hidden="false" customHeight="true" outlineLevel="0" collapsed="false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customFormat="false" ht="14.25" hidden="false" customHeight="true" outlineLevel="0" collapsed="false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customFormat="false" ht="14.25" hidden="false" customHeight="true" outlineLevel="0" collapsed="false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customFormat="false" ht="14.25" hidden="false" customHeight="true" outlineLevel="0" collapsed="false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customFormat="false" ht="14.25" hidden="false" customHeight="true" outlineLevel="0" collapsed="false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customFormat="false" ht="14.25" hidden="false" customHeight="true" outlineLevel="0" collapsed="false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customFormat="false" ht="14.25" hidden="false" customHeight="true" outlineLevel="0" collapsed="false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customFormat="false" ht="14.25" hidden="false" customHeight="true" outlineLevel="0" collapsed="false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customFormat="false" ht="14.25" hidden="false" customHeight="true" outlineLevel="0" collapsed="false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customFormat="false" ht="14.25" hidden="false" customHeight="true" outlineLevel="0" collapsed="false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customFormat="false" ht="14.25" hidden="false" customHeight="true" outlineLevel="0" collapsed="false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customFormat="false" ht="14.25" hidden="false" customHeight="true" outlineLevel="0" collapsed="false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customFormat="false" ht="14.25" hidden="false" customHeight="true" outlineLevel="0" collapsed="false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customFormat="false" ht="14.25" hidden="false" customHeight="true" outlineLevel="0" collapsed="false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customFormat="false" ht="14.25" hidden="false" customHeight="true" outlineLevel="0" collapsed="false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customFormat="false" ht="14.25" hidden="false" customHeight="true" outlineLevel="0" collapsed="false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customFormat="false" ht="14.25" hidden="false" customHeight="true" outlineLevel="0" collapsed="false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customFormat="false" ht="14.25" hidden="false" customHeight="true" outlineLevel="0" collapsed="false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customFormat="false" ht="14.25" hidden="false" customHeight="true" outlineLevel="0" collapsed="false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customFormat="false" ht="14.25" hidden="false" customHeight="true" outlineLevel="0" collapsed="false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customFormat="false" ht="14.25" hidden="false" customHeight="true" outlineLevel="0" collapsed="false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customFormat="false" ht="14.25" hidden="false" customHeight="true" outlineLevel="0" collapsed="false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customFormat="false" ht="14.25" hidden="false" customHeight="true" outlineLevel="0" collapsed="false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customFormat="false" ht="14.25" hidden="false" customHeight="true" outlineLevel="0" collapsed="false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customFormat="false" ht="14.25" hidden="false" customHeight="true" outlineLevel="0" collapsed="false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customFormat="false" ht="14.25" hidden="false" customHeight="true" outlineLevel="0" collapsed="false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customFormat="false" ht="14.25" hidden="false" customHeight="true" outlineLevel="0" collapsed="false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customFormat="false" ht="14.25" hidden="false" customHeight="true" outlineLevel="0" collapsed="false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customFormat="false" ht="14.25" hidden="false" customHeight="true" outlineLevel="0" collapsed="false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customFormat="false" ht="14.25" hidden="false" customHeight="true" outlineLevel="0" collapsed="false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customFormat="false" ht="14.25" hidden="false" customHeight="true" outlineLevel="0" collapsed="false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customFormat="false" ht="14.25" hidden="false" customHeight="true" outlineLevel="0" collapsed="false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customFormat="false" ht="14.25" hidden="false" customHeight="true" outlineLevel="0" collapsed="false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customFormat="false" ht="14.25" hidden="false" customHeight="true" outlineLevel="0" collapsed="false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customFormat="false" ht="14.25" hidden="false" customHeight="true" outlineLevel="0" collapsed="false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customFormat="false" ht="14.25" hidden="false" customHeight="true" outlineLevel="0" collapsed="false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customFormat="false" ht="14.25" hidden="false" customHeight="true" outlineLevel="0" collapsed="false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customFormat="false" ht="14.25" hidden="false" customHeight="true" outlineLevel="0" collapsed="false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customFormat="false" ht="14.25" hidden="false" customHeight="true" outlineLevel="0" collapsed="false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customFormat="false" ht="14.25" hidden="false" customHeight="true" outlineLevel="0" collapsed="false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customFormat="false" ht="14.25" hidden="false" customHeight="true" outlineLevel="0" collapsed="false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customFormat="false" ht="14.25" hidden="false" customHeight="true" outlineLevel="0" collapsed="false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customFormat="false" ht="14.25" hidden="false" customHeight="true" outlineLevel="0" collapsed="false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customFormat="false" ht="14.25" hidden="false" customHeight="true" outlineLevel="0" collapsed="false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customFormat="false" ht="14.25" hidden="false" customHeight="true" outlineLevel="0" collapsed="false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customFormat="false" ht="14.25" hidden="false" customHeight="true" outlineLevel="0" collapsed="false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customFormat="false" ht="14.25" hidden="false" customHeight="true" outlineLevel="0" collapsed="false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customFormat="false" ht="14.25" hidden="false" customHeight="true" outlineLevel="0" collapsed="false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customFormat="false" ht="14.25" hidden="false" customHeight="true" outlineLevel="0" collapsed="false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customFormat="false" ht="14.25" hidden="false" customHeight="true" outlineLevel="0" collapsed="false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customFormat="false" ht="14.25" hidden="false" customHeight="true" outlineLevel="0" collapsed="false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customFormat="false" ht="14.25" hidden="false" customHeight="true" outlineLevel="0" collapsed="false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customFormat="false" ht="14.25" hidden="false" customHeight="true" outlineLevel="0" collapsed="false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customFormat="false" ht="14.25" hidden="false" customHeight="true" outlineLevel="0" collapsed="false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customFormat="false" ht="14.25" hidden="false" customHeight="true" outlineLevel="0" collapsed="false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customFormat="false" ht="14.25" hidden="false" customHeight="true" outlineLevel="0" collapsed="false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customFormat="false" ht="14.25" hidden="false" customHeight="true" outlineLevel="0" collapsed="false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customFormat="false" ht="14.25" hidden="false" customHeight="true" outlineLevel="0" collapsed="false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customFormat="false" ht="14.25" hidden="false" customHeight="true" outlineLevel="0" collapsed="false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customFormat="false" ht="14.25" hidden="false" customHeight="true" outlineLevel="0" collapsed="false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customFormat="false" ht="14.25" hidden="false" customHeight="true" outlineLevel="0" collapsed="false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customFormat="false" ht="14.25" hidden="false" customHeight="true" outlineLevel="0" collapsed="false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customFormat="false" ht="14.25" hidden="false" customHeight="true" outlineLevel="0" collapsed="false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customFormat="false" ht="14.25" hidden="false" customHeight="true" outlineLevel="0" collapsed="false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customFormat="false" ht="14.25" hidden="false" customHeight="true" outlineLevel="0" collapsed="false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customFormat="false" ht="14.25" hidden="false" customHeight="true" outlineLevel="0" collapsed="false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customFormat="false" ht="14.25" hidden="false" customHeight="true" outlineLevel="0" collapsed="false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customFormat="false" ht="14.25" hidden="false" customHeight="true" outlineLevel="0" collapsed="false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customFormat="false" ht="14.25" hidden="false" customHeight="true" outlineLevel="0" collapsed="false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customFormat="false" ht="14.25" hidden="false" customHeight="true" outlineLevel="0" collapsed="false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customFormat="false" ht="14.25" hidden="false" customHeight="true" outlineLevel="0" collapsed="false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customFormat="false" ht="14.25" hidden="false" customHeight="true" outlineLevel="0" collapsed="false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customFormat="false" ht="14.25" hidden="false" customHeight="true" outlineLevel="0" collapsed="false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customFormat="false" ht="14.25" hidden="false" customHeight="true" outlineLevel="0" collapsed="false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customFormat="false" ht="14.25" hidden="false" customHeight="true" outlineLevel="0" collapsed="false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customFormat="false" ht="14.25" hidden="false" customHeight="true" outlineLevel="0" collapsed="false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customFormat="false" ht="14.25" hidden="false" customHeight="true" outlineLevel="0" collapsed="false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customFormat="false" ht="14.25" hidden="false" customHeight="true" outlineLevel="0" collapsed="false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customFormat="false" ht="14.25" hidden="false" customHeight="true" outlineLevel="0" collapsed="false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customFormat="false" ht="14.25" hidden="false" customHeight="true" outlineLevel="0" collapsed="false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customFormat="false" ht="14.25" hidden="false" customHeight="true" outlineLevel="0" collapsed="false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customFormat="false" ht="14.25" hidden="false" customHeight="true" outlineLevel="0" collapsed="false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customFormat="false" ht="14.25" hidden="false" customHeight="true" outlineLevel="0" collapsed="false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customFormat="false" ht="14.25" hidden="false" customHeight="true" outlineLevel="0" collapsed="false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customFormat="false" ht="14.25" hidden="false" customHeight="true" outlineLevel="0" collapsed="false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customFormat="false" ht="14.25" hidden="false" customHeight="true" outlineLevel="0" collapsed="false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customFormat="false" ht="14.25" hidden="false" customHeight="true" outlineLevel="0" collapsed="false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customFormat="false" ht="14.25" hidden="false" customHeight="true" outlineLevel="0" collapsed="false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customFormat="false" ht="14.25" hidden="false" customHeight="true" outlineLevel="0" collapsed="false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customFormat="false" ht="14.25" hidden="false" customHeight="true" outlineLevel="0" collapsed="false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customFormat="false" ht="14.25" hidden="false" customHeight="true" outlineLevel="0" collapsed="false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customFormat="false" ht="14.25" hidden="false" customHeight="true" outlineLevel="0" collapsed="false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customFormat="false" ht="14.25" hidden="false" customHeight="true" outlineLevel="0" collapsed="false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customFormat="false" ht="14.25" hidden="false" customHeight="true" outlineLevel="0" collapsed="false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customFormat="false" ht="14.25" hidden="false" customHeight="true" outlineLevel="0" collapsed="false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customFormat="false" ht="14.25" hidden="false" customHeight="true" outlineLevel="0" collapsed="false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customFormat="false" ht="14.25" hidden="false" customHeight="true" outlineLevel="0" collapsed="false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customFormat="false" ht="14.25" hidden="false" customHeight="true" outlineLevel="0" collapsed="false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customFormat="false" ht="14.25" hidden="false" customHeight="true" outlineLevel="0" collapsed="false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customFormat="false" ht="14.25" hidden="false" customHeight="true" outlineLevel="0" collapsed="false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customFormat="false" ht="14.25" hidden="false" customHeight="true" outlineLevel="0" collapsed="false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customFormat="false" ht="14.25" hidden="false" customHeight="true" outlineLevel="0" collapsed="false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customFormat="false" ht="14.25" hidden="false" customHeight="true" outlineLevel="0" collapsed="false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customFormat="false" ht="14.25" hidden="false" customHeight="true" outlineLevel="0" collapsed="false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customFormat="false" ht="14.25" hidden="false" customHeight="true" outlineLevel="0" collapsed="false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customFormat="false" ht="14.25" hidden="false" customHeight="true" outlineLevel="0" collapsed="false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customFormat="false" ht="14.25" hidden="false" customHeight="true" outlineLevel="0" collapsed="false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customFormat="false" ht="14.25" hidden="false" customHeight="true" outlineLevel="0" collapsed="false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customFormat="false" ht="14.25" hidden="false" customHeight="true" outlineLevel="0" collapsed="false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customFormat="false" ht="14.25" hidden="false" customHeight="true" outlineLevel="0" collapsed="false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customFormat="false" ht="14.25" hidden="false" customHeight="true" outlineLevel="0" collapsed="false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customFormat="false" ht="14.25" hidden="false" customHeight="true" outlineLevel="0" collapsed="false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customFormat="false" ht="14.25" hidden="false" customHeight="true" outlineLevel="0" collapsed="false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customFormat="false" ht="14.25" hidden="false" customHeight="true" outlineLevel="0" collapsed="false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customFormat="false" ht="14.25" hidden="false" customHeight="true" outlineLevel="0" collapsed="false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customFormat="false" ht="14.25" hidden="false" customHeight="true" outlineLevel="0" collapsed="false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customFormat="false" ht="14.25" hidden="false" customHeight="true" outlineLevel="0" collapsed="false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customFormat="false" ht="14.25" hidden="false" customHeight="true" outlineLevel="0" collapsed="false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customFormat="false" ht="14.25" hidden="false" customHeight="true" outlineLevel="0" collapsed="false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customFormat="false" ht="14.25" hidden="false" customHeight="true" outlineLevel="0" collapsed="false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customFormat="false" ht="14.25" hidden="false" customHeight="true" outlineLevel="0" collapsed="false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customFormat="false" ht="14.25" hidden="false" customHeight="true" outlineLevel="0" collapsed="false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customFormat="false" ht="14.25" hidden="false" customHeight="true" outlineLevel="0" collapsed="false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customFormat="false" ht="14.25" hidden="false" customHeight="true" outlineLevel="0" collapsed="false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customFormat="false" ht="14.25" hidden="false" customHeight="true" outlineLevel="0" collapsed="false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customFormat="false" ht="14.25" hidden="false" customHeight="true" outlineLevel="0" collapsed="false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customFormat="false" ht="14.25" hidden="false" customHeight="true" outlineLevel="0" collapsed="false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customFormat="false" ht="14.25" hidden="false" customHeight="true" outlineLevel="0" collapsed="false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customFormat="false" ht="14.25" hidden="false" customHeight="true" outlineLevel="0" collapsed="false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customFormat="false" ht="14.25" hidden="false" customHeight="true" outlineLevel="0" collapsed="false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customFormat="false" ht="14.25" hidden="false" customHeight="true" outlineLevel="0" collapsed="false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customFormat="false" ht="14.25" hidden="false" customHeight="true" outlineLevel="0" collapsed="false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customFormat="false" ht="14.25" hidden="false" customHeight="true" outlineLevel="0" collapsed="false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customFormat="false" ht="14.25" hidden="false" customHeight="true" outlineLevel="0" collapsed="false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customFormat="false" ht="14.25" hidden="false" customHeight="true" outlineLevel="0" collapsed="false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customFormat="false" ht="14.25" hidden="false" customHeight="true" outlineLevel="0" collapsed="false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customFormat="false" ht="14.25" hidden="false" customHeight="true" outlineLevel="0" collapsed="false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customFormat="false" ht="14.25" hidden="false" customHeight="true" outlineLevel="0" collapsed="false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customFormat="false" ht="14.25" hidden="false" customHeight="true" outlineLevel="0" collapsed="false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customFormat="false" ht="14.25" hidden="false" customHeight="true" outlineLevel="0" collapsed="false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customFormat="false" ht="14.25" hidden="false" customHeight="true" outlineLevel="0" collapsed="false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customFormat="false" ht="14.25" hidden="false" customHeight="true" outlineLevel="0" collapsed="false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customFormat="false" ht="14.25" hidden="false" customHeight="true" outlineLevel="0" collapsed="false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customFormat="false" ht="14.25" hidden="false" customHeight="true" outlineLevel="0" collapsed="false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customFormat="false" ht="14.25" hidden="false" customHeight="true" outlineLevel="0" collapsed="false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customFormat="false" ht="14.25" hidden="false" customHeight="true" outlineLevel="0" collapsed="false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customFormat="false" ht="14.25" hidden="false" customHeight="true" outlineLevel="0" collapsed="false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customFormat="false" ht="14.25" hidden="false" customHeight="true" outlineLevel="0" collapsed="false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customFormat="false" ht="14.25" hidden="false" customHeight="true" outlineLevel="0" collapsed="false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customFormat="false" ht="14.25" hidden="false" customHeight="true" outlineLevel="0" collapsed="false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customFormat="false" ht="14.25" hidden="false" customHeight="true" outlineLevel="0" collapsed="false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customFormat="false" ht="14.25" hidden="false" customHeight="true" outlineLevel="0" collapsed="false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customFormat="false" ht="14.25" hidden="false" customHeight="true" outlineLevel="0" collapsed="false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customFormat="false" ht="14.25" hidden="false" customHeight="true" outlineLevel="0" collapsed="false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customFormat="false" ht="14.25" hidden="false" customHeight="true" outlineLevel="0" collapsed="false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customFormat="false" ht="14.25" hidden="false" customHeight="true" outlineLevel="0" collapsed="false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customFormat="false" ht="14.25" hidden="false" customHeight="true" outlineLevel="0" collapsed="false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customFormat="false" ht="14.25" hidden="false" customHeight="true" outlineLevel="0" collapsed="false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customFormat="false" ht="14.25" hidden="false" customHeight="true" outlineLevel="0" collapsed="false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customFormat="false" ht="14.25" hidden="false" customHeight="true" outlineLevel="0" collapsed="false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customFormat="false" ht="14.25" hidden="false" customHeight="true" outlineLevel="0" collapsed="false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customFormat="false" ht="14.25" hidden="false" customHeight="true" outlineLevel="0" collapsed="false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customFormat="false" ht="14.25" hidden="false" customHeight="true" outlineLevel="0" collapsed="false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customFormat="false" ht="14.25" hidden="false" customHeight="true" outlineLevel="0" collapsed="false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customFormat="false" ht="14.25" hidden="false" customHeight="true" outlineLevel="0" collapsed="false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customFormat="false" ht="14.25" hidden="false" customHeight="true" outlineLevel="0" collapsed="false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customFormat="false" ht="14.25" hidden="false" customHeight="true" outlineLevel="0" collapsed="false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customFormat="false" ht="14.25" hidden="false" customHeight="true" outlineLevel="0" collapsed="false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customFormat="false" ht="14.25" hidden="false" customHeight="true" outlineLevel="0" collapsed="false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customFormat="false" ht="14.25" hidden="false" customHeight="true" outlineLevel="0" collapsed="false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customFormat="false" ht="14.25" hidden="false" customHeight="true" outlineLevel="0" collapsed="false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customFormat="false" ht="14.25" hidden="false" customHeight="true" outlineLevel="0" collapsed="false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customFormat="false" ht="14.25" hidden="false" customHeight="true" outlineLevel="0" collapsed="false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customFormat="false" ht="14.25" hidden="false" customHeight="true" outlineLevel="0" collapsed="false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customFormat="false" ht="14.25" hidden="false" customHeight="true" outlineLevel="0" collapsed="false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customFormat="false" ht="14.25" hidden="false" customHeight="true" outlineLevel="0" collapsed="false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customFormat="false" ht="14.25" hidden="false" customHeight="true" outlineLevel="0" collapsed="false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customFormat="false" ht="14.25" hidden="false" customHeight="true" outlineLevel="0" collapsed="false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customFormat="false" ht="14.25" hidden="false" customHeight="true" outlineLevel="0" collapsed="false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customFormat="false" ht="14.25" hidden="false" customHeight="true" outlineLevel="0" collapsed="false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customFormat="false" ht="14.25" hidden="false" customHeight="true" outlineLevel="0" collapsed="false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customFormat="false" ht="14.25" hidden="false" customHeight="true" outlineLevel="0" collapsed="false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customFormat="false" ht="14.25" hidden="false" customHeight="true" outlineLevel="0" collapsed="false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customFormat="false" ht="14.25" hidden="false" customHeight="true" outlineLevel="0" collapsed="false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customFormat="false" ht="14.25" hidden="false" customHeight="true" outlineLevel="0" collapsed="false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customFormat="false" ht="14.25" hidden="false" customHeight="true" outlineLevel="0" collapsed="false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customFormat="false" ht="14.25" hidden="false" customHeight="true" outlineLevel="0" collapsed="false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customFormat="false" ht="14.25" hidden="false" customHeight="true" outlineLevel="0" collapsed="false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customFormat="false" ht="14.25" hidden="false" customHeight="true" outlineLevel="0" collapsed="false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customFormat="false" ht="14.25" hidden="false" customHeight="true" outlineLevel="0" collapsed="false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customFormat="false" ht="14.25" hidden="false" customHeight="true" outlineLevel="0" collapsed="false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customFormat="false" ht="14.25" hidden="false" customHeight="true" outlineLevel="0" collapsed="false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customFormat="false" ht="14.25" hidden="false" customHeight="true" outlineLevel="0" collapsed="false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customFormat="false" ht="14.25" hidden="false" customHeight="true" outlineLevel="0" collapsed="false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customFormat="false" ht="14.25" hidden="false" customHeight="true" outlineLevel="0" collapsed="false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customFormat="false" ht="14.25" hidden="false" customHeight="true" outlineLevel="0" collapsed="false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customFormat="false" ht="14.25" hidden="false" customHeight="true" outlineLevel="0" collapsed="false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customFormat="false" ht="14.25" hidden="false" customHeight="true" outlineLevel="0" collapsed="false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customFormat="false" ht="14.25" hidden="false" customHeight="true" outlineLevel="0" collapsed="false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customFormat="false" ht="14.25" hidden="false" customHeight="true" outlineLevel="0" collapsed="false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customFormat="false" ht="14.25" hidden="false" customHeight="true" outlineLevel="0" collapsed="false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customFormat="false" ht="14.25" hidden="false" customHeight="true" outlineLevel="0" collapsed="false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customFormat="false" ht="14.25" hidden="false" customHeight="true" outlineLevel="0" collapsed="false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customFormat="false" ht="14.25" hidden="false" customHeight="true" outlineLevel="0" collapsed="false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customFormat="false" ht="14.25" hidden="false" customHeight="true" outlineLevel="0" collapsed="false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customFormat="false" ht="14.25" hidden="false" customHeight="true" outlineLevel="0" collapsed="false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customFormat="false" ht="14.25" hidden="false" customHeight="true" outlineLevel="0" collapsed="false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customFormat="false" ht="14.25" hidden="false" customHeight="true" outlineLevel="0" collapsed="false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customFormat="false" ht="14.25" hidden="false" customHeight="true" outlineLevel="0" collapsed="false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customFormat="false" ht="14.25" hidden="false" customHeight="true" outlineLevel="0" collapsed="false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customFormat="false" ht="14.25" hidden="false" customHeight="true" outlineLevel="0" collapsed="false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customFormat="false" ht="14.25" hidden="false" customHeight="true" outlineLevel="0" collapsed="false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customFormat="false" ht="14.25" hidden="false" customHeight="true" outlineLevel="0" collapsed="false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customFormat="false" ht="14.25" hidden="false" customHeight="true" outlineLevel="0" collapsed="false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customFormat="false" ht="14.25" hidden="false" customHeight="true" outlineLevel="0" collapsed="false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customFormat="false" ht="14.25" hidden="false" customHeight="true" outlineLevel="0" collapsed="false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customFormat="false" ht="14.25" hidden="false" customHeight="true" outlineLevel="0" collapsed="false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customFormat="false" ht="14.25" hidden="false" customHeight="true" outlineLevel="0" collapsed="false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customFormat="false" ht="14.25" hidden="false" customHeight="true" outlineLevel="0" collapsed="false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customFormat="false" ht="14.25" hidden="false" customHeight="true" outlineLevel="0" collapsed="false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customFormat="false" ht="14.25" hidden="false" customHeight="true" outlineLevel="0" collapsed="false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customFormat="false" ht="14.25" hidden="false" customHeight="true" outlineLevel="0" collapsed="false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customFormat="false" ht="14.25" hidden="false" customHeight="true" outlineLevel="0" collapsed="false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customFormat="false" ht="14.25" hidden="false" customHeight="true" outlineLevel="0" collapsed="false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customFormat="false" ht="14.25" hidden="false" customHeight="true" outlineLevel="0" collapsed="false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customFormat="false" ht="14.25" hidden="false" customHeight="true" outlineLevel="0" collapsed="false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customFormat="false" ht="14.25" hidden="false" customHeight="true" outlineLevel="0" collapsed="false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customFormat="false" ht="14.25" hidden="false" customHeight="true" outlineLevel="0" collapsed="false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customFormat="false" ht="14.25" hidden="false" customHeight="true" outlineLevel="0" collapsed="false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customFormat="false" ht="14.25" hidden="false" customHeight="true" outlineLevel="0" collapsed="false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customFormat="false" ht="14.25" hidden="false" customHeight="true" outlineLevel="0" collapsed="false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customFormat="false" ht="14.25" hidden="false" customHeight="true" outlineLevel="0" collapsed="false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customFormat="false" ht="14.25" hidden="false" customHeight="true" outlineLevel="0" collapsed="false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customFormat="false" ht="14.25" hidden="false" customHeight="true" outlineLevel="0" collapsed="false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customFormat="false" ht="14.25" hidden="false" customHeight="true" outlineLevel="0" collapsed="false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customFormat="false" ht="14.25" hidden="false" customHeight="true" outlineLevel="0" collapsed="false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customFormat="false" ht="14.25" hidden="false" customHeight="true" outlineLevel="0" collapsed="false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customFormat="false" ht="14.25" hidden="false" customHeight="true" outlineLevel="0" collapsed="false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customFormat="false" ht="14.25" hidden="false" customHeight="true" outlineLevel="0" collapsed="false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customFormat="false" ht="14.25" hidden="false" customHeight="true" outlineLevel="0" collapsed="false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customFormat="false" ht="14.25" hidden="false" customHeight="true" outlineLevel="0" collapsed="false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customFormat="false" ht="14.25" hidden="false" customHeight="true" outlineLevel="0" collapsed="false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customFormat="false" ht="14.25" hidden="false" customHeight="true" outlineLevel="0" collapsed="false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customFormat="false" ht="14.25" hidden="false" customHeight="true" outlineLevel="0" collapsed="false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customFormat="false" ht="14.25" hidden="false" customHeight="true" outlineLevel="0" collapsed="false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customFormat="false" ht="14.25" hidden="false" customHeight="true" outlineLevel="0" collapsed="false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customFormat="false" ht="14.25" hidden="false" customHeight="true" outlineLevel="0" collapsed="false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customFormat="false" ht="14.25" hidden="false" customHeight="true" outlineLevel="0" collapsed="false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customFormat="false" ht="14.25" hidden="false" customHeight="true" outlineLevel="0" collapsed="false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customFormat="false" ht="14.25" hidden="false" customHeight="true" outlineLevel="0" collapsed="false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customFormat="false" ht="14.25" hidden="false" customHeight="true" outlineLevel="0" collapsed="false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customFormat="false" ht="14.25" hidden="false" customHeight="true" outlineLevel="0" collapsed="false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customFormat="false" ht="14.25" hidden="false" customHeight="true" outlineLevel="0" collapsed="false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customFormat="false" ht="14.25" hidden="false" customHeight="true" outlineLevel="0" collapsed="false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customFormat="false" ht="14.25" hidden="false" customHeight="true" outlineLevel="0" collapsed="false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customFormat="false" ht="14.25" hidden="false" customHeight="true" outlineLevel="0" collapsed="false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customFormat="false" ht="14.25" hidden="false" customHeight="true" outlineLevel="0" collapsed="false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customFormat="false" ht="14.25" hidden="false" customHeight="true" outlineLevel="0" collapsed="false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customFormat="false" ht="14.25" hidden="false" customHeight="true" outlineLevel="0" collapsed="false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customFormat="false" ht="14.25" hidden="false" customHeight="true" outlineLevel="0" collapsed="false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customFormat="false" ht="14.25" hidden="false" customHeight="true" outlineLevel="0" collapsed="false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customFormat="false" ht="14.25" hidden="false" customHeight="true" outlineLevel="0" collapsed="false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customFormat="false" ht="14.25" hidden="false" customHeight="true" outlineLevel="0" collapsed="false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customFormat="false" ht="14.25" hidden="false" customHeight="true" outlineLevel="0" collapsed="false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customFormat="false" ht="14.25" hidden="false" customHeight="true" outlineLevel="0" collapsed="false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customFormat="false" ht="14.25" hidden="false" customHeight="true" outlineLevel="0" collapsed="false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customFormat="false" ht="14.25" hidden="false" customHeight="true" outlineLevel="0" collapsed="false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customFormat="false" ht="14.25" hidden="false" customHeight="true" outlineLevel="0" collapsed="false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customFormat="false" ht="14.25" hidden="false" customHeight="true" outlineLevel="0" collapsed="false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customFormat="false" ht="14.25" hidden="false" customHeight="true" outlineLevel="0" collapsed="false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customFormat="false" ht="14.25" hidden="false" customHeight="true" outlineLevel="0" collapsed="false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customFormat="false" ht="14.25" hidden="false" customHeight="true" outlineLevel="0" collapsed="false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customFormat="false" ht="14.25" hidden="false" customHeight="true" outlineLevel="0" collapsed="false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customFormat="false" ht="14.25" hidden="false" customHeight="true" outlineLevel="0" collapsed="false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customFormat="false" ht="14.25" hidden="false" customHeight="true" outlineLevel="0" collapsed="false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customFormat="false" ht="14.25" hidden="false" customHeight="true" outlineLevel="0" collapsed="false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customFormat="false" ht="14.25" hidden="false" customHeight="true" outlineLevel="0" collapsed="false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customFormat="false" ht="14.25" hidden="false" customHeight="true" outlineLevel="0" collapsed="false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customFormat="false" ht="14.25" hidden="false" customHeight="true" outlineLevel="0" collapsed="false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customFormat="false" ht="14.25" hidden="false" customHeight="true" outlineLevel="0" collapsed="false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customFormat="false" ht="14.25" hidden="false" customHeight="true" outlineLevel="0" collapsed="false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customFormat="false" ht="14.25" hidden="false" customHeight="true" outlineLevel="0" collapsed="false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customFormat="false" ht="14.25" hidden="false" customHeight="true" outlineLevel="0" collapsed="false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customFormat="false" ht="14.25" hidden="false" customHeight="true" outlineLevel="0" collapsed="false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customFormat="false" ht="14.25" hidden="false" customHeight="true" outlineLevel="0" collapsed="false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customFormat="false" ht="14.25" hidden="false" customHeight="true" outlineLevel="0" collapsed="false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customFormat="false" ht="14.25" hidden="false" customHeight="true" outlineLevel="0" collapsed="false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customFormat="false" ht="14.25" hidden="false" customHeight="true" outlineLevel="0" collapsed="false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customFormat="false" ht="14.25" hidden="false" customHeight="true" outlineLevel="0" collapsed="false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customFormat="false" ht="14.25" hidden="false" customHeight="true" outlineLevel="0" collapsed="false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customFormat="false" ht="14.25" hidden="false" customHeight="true" outlineLevel="0" collapsed="false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customFormat="false" ht="14.25" hidden="false" customHeight="true" outlineLevel="0" collapsed="false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customFormat="false" ht="14.25" hidden="false" customHeight="true" outlineLevel="0" collapsed="false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customFormat="false" ht="14.25" hidden="false" customHeight="true" outlineLevel="0" collapsed="false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customFormat="false" ht="14.25" hidden="false" customHeight="true" outlineLevel="0" collapsed="false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customFormat="false" ht="14.25" hidden="false" customHeight="true" outlineLevel="0" collapsed="false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customFormat="false" ht="14.25" hidden="false" customHeight="true" outlineLevel="0" collapsed="false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customFormat="false" ht="14.25" hidden="false" customHeight="true" outlineLevel="0" collapsed="false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customFormat="false" ht="14.25" hidden="false" customHeight="true" outlineLevel="0" collapsed="false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customFormat="false" ht="14.25" hidden="false" customHeight="true" outlineLevel="0" collapsed="false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customFormat="false" ht="14.25" hidden="false" customHeight="true" outlineLevel="0" collapsed="false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customFormat="false" ht="14.25" hidden="false" customHeight="true" outlineLevel="0" collapsed="false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customFormat="false" ht="14.25" hidden="false" customHeight="true" outlineLevel="0" collapsed="false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customFormat="false" ht="14.25" hidden="false" customHeight="true" outlineLevel="0" collapsed="false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customFormat="false" ht="14.25" hidden="false" customHeight="true" outlineLevel="0" collapsed="false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customFormat="false" ht="14.25" hidden="false" customHeight="true" outlineLevel="0" collapsed="false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customFormat="false" ht="14.25" hidden="false" customHeight="true" outlineLevel="0" collapsed="false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customFormat="false" ht="14.25" hidden="false" customHeight="true" outlineLevel="0" collapsed="false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customFormat="false" ht="14.25" hidden="false" customHeight="true" outlineLevel="0" collapsed="false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customFormat="false" ht="14.25" hidden="false" customHeight="true" outlineLevel="0" collapsed="false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customFormat="false" ht="14.25" hidden="false" customHeight="true" outlineLevel="0" collapsed="false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customFormat="false" ht="14.25" hidden="false" customHeight="true" outlineLevel="0" collapsed="false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customFormat="false" ht="14.25" hidden="false" customHeight="true" outlineLevel="0" collapsed="false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customFormat="false" ht="14.25" hidden="false" customHeight="true" outlineLevel="0" collapsed="false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customFormat="false" ht="14.25" hidden="false" customHeight="true" outlineLevel="0" collapsed="false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customFormat="false" ht="14.25" hidden="false" customHeight="true" outlineLevel="0" collapsed="false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customFormat="false" ht="14.25" hidden="false" customHeight="true" outlineLevel="0" collapsed="false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customFormat="false" ht="14.25" hidden="false" customHeight="true" outlineLevel="0" collapsed="false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customFormat="false" ht="14.25" hidden="false" customHeight="true" outlineLevel="0" collapsed="false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customFormat="false" ht="14.25" hidden="false" customHeight="true" outlineLevel="0" collapsed="false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customFormat="false" ht="14.25" hidden="false" customHeight="true" outlineLevel="0" collapsed="false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customFormat="false" ht="14.25" hidden="false" customHeight="true" outlineLevel="0" collapsed="false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customFormat="false" ht="14.25" hidden="false" customHeight="true" outlineLevel="0" collapsed="false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customFormat="false" ht="14.25" hidden="false" customHeight="true" outlineLevel="0" collapsed="false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customFormat="false" ht="14.25" hidden="false" customHeight="true" outlineLevel="0" collapsed="false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customFormat="false" ht="14.25" hidden="false" customHeight="true" outlineLevel="0" collapsed="false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customFormat="false" ht="14.25" hidden="false" customHeight="true" outlineLevel="0" collapsed="false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customFormat="false" ht="14.25" hidden="false" customHeight="true" outlineLevel="0" collapsed="false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customFormat="false" ht="14.25" hidden="false" customHeight="true" outlineLevel="0" collapsed="false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customFormat="false" ht="14.25" hidden="false" customHeight="true" outlineLevel="0" collapsed="false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customFormat="false" ht="14.25" hidden="false" customHeight="true" outlineLevel="0" collapsed="false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customFormat="false" ht="14.25" hidden="false" customHeight="true" outlineLevel="0" collapsed="false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customFormat="false" ht="14.25" hidden="false" customHeight="true" outlineLevel="0" collapsed="false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customFormat="false" ht="14.25" hidden="false" customHeight="true" outlineLevel="0" collapsed="false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customFormat="false" ht="14.25" hidden="false" customHeight="true" outlineLevel="0" collapsed="false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customFormat="false" ht="14.25" hidden="false" customHeight="true" outlineLevel="0" collapsed="false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customFormat="false" ht="14.25" hidden="false" customHeight="true" outlineLevel="0" collapsed="false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customFormat="false" ht="14.25" hidden="false" customHeight="true" outlineLevel="0" collapsed="false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customFormat="false" ht="14.25" hidden="false" customHeight="true" outlineLevel="0" collapsed="false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customFormat="false" ht="14.25" hidden="false" customHeight="true" outlineLevel="0" collapsed="false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customFormat="false" ht="14.25" hidden="false" customHeight="true" outlineLevel="0" collapsed="false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customFormat="false" ht="14.25" hidden="false" customHeight="true" outlineLevel="0" collapsed="false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customFormat="false" ht="14.25" hidden="false" customHeight="true" outlineLevel="0" collapsed="false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customFormat="false" ht="14.25" hidden="false" customHeight="true" outlineLevel="0" collapsed="false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customFormat="false" ht="14.25" hidden="false" customHeight="true" outlineLevel="0" collapsed="false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customFormat="false" ht="14.25" hidden="false" customHeight="true" outlineLevel="0" collapsed="false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customFormat="false" ht="14.25" hidden="false" customHeight="true" outlineLevel="0" collapsed="false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customFormat="false" ht="14.25" hidden="false" customHeight="true" outlineLevel="0" collapsed="false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customFormat="false" ht="14.25" hidden="false" customHeight="true" outlineLevel="0" collapsed="false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customFormat="false" ht="14.25" hidden="false" customHeight="true" outlineLevel="0" collapsed="false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customFormat="false" ht="14.25" hidden="false" customHeight="true" outlineLevel="0" collapsed="false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customFormat="false" ht="14.25" hidden="false" customHeight="true" outlineLevel="0" collapsed="false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customFormat="false" ht="14.25" hidden="false" customHeight="true" outlineLevel="0" collapsed="false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customFormat="false" ht="14.25" hidden="false" customHeight="true" outlineLevel="0" collapsed="false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customFormat="false" ht="14.25" hidden="false" customHeight="true" outlineLevel="0" collapsed="false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customFormat="false" ht="14.25" hidden="false" customHeight="true" outlineLevel="0" collapsed="false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customFormat="false" ht="14.25" hidden="false" customHeight="true" outlineLevel="0" collapsed="false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customFormat="false" ht="14.25" hidden="false" customHeight="true" outlineLevel="0" collapsed="false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customFormat="false" ht="14.25" hidden="false" customHeight="true" outlineLevel="0" collapsed="false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customFormat="false" ht="14.25" hidden="false" customHeight="true" outlineLevel="0" collapsed="false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customFormat="false" ht="14.25" hidden="false" customHeight="true" outlineLevel="0" collapsed="false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customFormat="false" ht="14.25" hidden="false" customHeight="true" outlineLevel="0" collapsed="false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customFormat="false" ht="14.25" hidden="false" customHeight="true" outlineLevel="0" collapsed="false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customFormat="false" ht="14.25" hidden="false" customHeight="true" outlineLevel="0" collapsed="false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customFormat="false" ht="14.25" hidden="false" customHeight="true" outlineLevel="0" collapsed="false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customFormat="false" ht="14.25" hidden="false" customHeight="true" outlineLevel="0" collapsed="false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customFormat="false" ht="14.25" hidden="false" customHeight="true" outlineLevel="0" collapsed="false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customFormat="false" ht="14.25" hidden="false" customHeight="true" outlineLevel="0" collapsed="false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customFormat="false" ht="14.25" hidden="false" customHeight="true" outlineLevel="0" collapsed="false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customFormat="false" ht="14.25" hidden="false" customHeight="true" outlineLevel="0" collapsed="false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customFormat="false" ht="14.25" hidden="false" customHeight="true" outlineLevel="0" collapsed="false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customFormat="false" ht="14.25" hidden="false" customHeight="true" outlineLevel="0" collapsed="false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customFormat="false" ht="14.25" hidden="false" customHeight="true" outlineLevel="0" collapsed="false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customFormat="false" ht="14.25" hidden="false" customHeight="true" outlineLevel="0" collapsed="false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customFormat="false" ht="14.25" hidden="false" customHeight="true" outlineLevel="0" collapsed="false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customFormat="false" ht="14.25" hidden="false" customHeight="true" outlineLevel="0" collapsed="false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customFormat="false" ht="14.25" hidden="false" customHeight="true" outlineLevel="0" collapsed="false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customFormat="false" ht="14.25" hidden="false" customHeight="true" outlineLevel="0" collapsed="false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customFormat="false" ht="14.25" hidden="false" customHeight="true" outlineLevel="0" collapsed="false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customFormat="false" ht="14.25" hidden="false" customHeight="true" outlineLevel="0" collapsed="false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customFormat="false" ht="14.25" hidden="false" customHeight="true" outlineLevel="0" collapsed="false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customFormat="false" ht="14.25" hidden="false" customHeight="true" outlineLevel="0" collapsed="false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customFormat="false" ht="14.25" hidden="false" customHeight="true" outlineLevel="0" collapsed="false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customFormat="false" ht="14.25" hidden="false" customHeight="true" outlineLevel="0" collapsed="false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customFormat="false" ht="14.25" hidden="false" customHeight="true" outlineLevel="0" collapsed="false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customFormat="false" ht="14.25" hidden="false" customHeight="true" outlineLevel="0" collapsed="false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customFormat="false" ht="14.25" hidden="false" customHeight="true" outlineLevel="0" collapsed="false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customFormat="false" ht="14.25" hidden="false" customHeight="true" outlineLevel="0" collapsed="false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customFormat="false" ht="14.25" hidden="false" customHeight="true" outlineLevel="0" collapsed="false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customFormat="false" ht="14.25" hidden="false" customHeight="true" outlineLevel="0" collapsed="false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customFormat="false" ht="14.25" hidden="false" customHeight="true" outlineLevel="0" collapsed="false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customFormat="false" ht="14.25" hidden="false" customHeight="true" outlineLevel="0" collapsed="false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customFormat="false" ht="14.25" hidden="false" customHeight="true" outlineLevel="0" collapsed="false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customFormat="false" ht="14.25" hidden="false" customHeight="true" outlineLevel="0" collapsed="false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customFormat="false" ht="14.25" hidden="false" customHeight="true" outlineLevel="0" collapsed="false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customFormat="false" ht="14.25" hidden="false" customHeight="true" outlineLevel="0" collapsed="false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customFormat="false" ht="14.25" hidden="false" customHeight="true" outlineLevel="0" collapsed="false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customFormat="false" ht="14.25" hidden="false" customHeight="true" outlineLevel="0" collapsed="false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customFormat="false" ht="14.25" hidden="false" customHeight="true" outlineLevel="0" collapsed="false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customFormat="false" ht="14.25" hidden="false" customHeight="true" outlineLevel="0" collapsed="false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customFormat="false" ht="14.25" hidden="false" customHeight="true" outlineLevel="0" collapsed="false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customFormat="false" ht="14.25" hidden="false" customHeight="true" outlineLevel="0" collapsed="false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customFormat="false" ht="14.25" hidden="false" customHeight="true" outlineLevel="0" collapsed="false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customFormat="false" ht="14.25" hidden="false" customHeight="true" outlineLevel="0" collapsed="false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customFormat="false" ht="14.25" hidden="false" customHeight="true" outlineLevel="0" collapsed="false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customFormat="false" ht="14.25" hidden="false" customHeight="true" outlineLevel="0" collapsed="false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customFormat="false" ht="14.25" hidden="false" customHeight="true" outlineLevel="0" collapsed="false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customFormat="false" ht="14.25" hidden="false" customHeight="true" outlineLevel="0" collapsed="false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customFormat="false" ht="14.25" hidden="false" customHeight="true" outlineLevel="0" collapsed="false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customFormat="false" ht="14.25" hidden="false" customHeight="true" outlineLevel="0" collapsed="false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customFormat="false" ht="14.25" hidden="false" customHeight="true" outlineLevel="0" collapsed="false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customFormat="false" ht="14.25" hidden="false" customHeight="true" outlineLevel="0" collapsed="false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customFormat="false" ht="14.25" hidden="false" customHeight="true" outlineLevel="0" collapsed="false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customFormat="false" ht="14.25" hidden="false" customHeight="true" outlineLevel="0" collapsed="false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customFormat="false" ht="14.25" hidden="false" customHeight="true" outlineLevel="0" collapsed="false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customFormat="false" ht="14.25" hidden="false" customHeight="true" outlineLevel="0" collapsed="false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customFormat="false" ht="14.25" hidden="false" customHeight="true" outlineLevel="0" collapsed="false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customFormat="false" ht="14.25" hidden="false" customHeight="true" outlineLevel="0" collapsed="false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customFormat="false" ht="14.25" hidden="false" customHeight="true" outlineLevel="0" collapsed="false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customFormat="false" ht="14.25" hidden="false" customHeight="true" outlineLevel="0" collapsed="false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customFormat="false" ht="14.25" hidden="false" customHeight="true" outlineLevel="0" collapsed="false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customFormat="false" ht="14.25" hidden="false" customHeight="true" outlineLevel="0" collapsed="false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customFormat="false" ht="14.25" hidden="false" customHeight="true" outlineLevel="0" collapsed="false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customFormat="false" ht="14.25" hidden="false" customHeight="true" outlineLevel="0" collapsed="false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customFormat="false" ht="14.25" hidden="false" customHeight="true" outlineLevel="0" collapsed="false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customFormat="false" ht="14.25" hidden="false" customHeight="true" outlineLevel="0" collapsed="false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customFormat="false" ht="14.25" hidden="false" customHeight="true" outlineLevel="0" collapsed="false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customFormat="false" ht="14.25" hidden="false" customHeight="true" outlineLevel="0" collapsed="false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customFormat="false" ht="14.25" hidden="false" customHeight="true" outlineLevel="0" collapsed="false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customFormat="false" ht="14.25" hidden="false" customHeight="true" outlineLevel="0" collapsed="false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customFormat="false" ht="14.25" hidden="false" customHeight="true" outlineLevel="0" collapsed="false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customFormat="false" ht="14.25" hidden="false" customHeight="true" outlineLevel="0" collapsed="false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customFormat="false" ht="14.25" hidden="false" customHeight="true" outlineLevel="0" collapsed="false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customFormat="false" ht="14.25" hidden="false" customHeight="true" outlineLevel="0" collapsed="false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customFormat="false" ht="14.25" hidden="false" customHeight="true" outlineLevel="0" collapsed="false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customFormat="false" ht="14.25" hidden="false" customHeight="true" outlineLevel="0" collapsed="false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customFormat="false" ht="14.25" hidden="false" customHeight="true" outlineLevel="0" collapsed="false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customFormat="false" ht="14.25" hidden="false" customHeight="true" outlineLevel="0" collapsed="false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customFormat="false" ht="14.25" hidden="false" customHeight="true" outlineLevel="0" collapsed="false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customFormat="false" ht="14.25" hidden="false" customHeight="true" outlineLevel="0" collapsed="false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customFormat="false" ht="14.25" hidden="false" customHeight="true" outlineLevel="0" collapsed="false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customFormat="false" ht="14.25" hidden="false" customHeight="true" outlineLevel="0" collapsed="false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customFormat="false" ht="14.25" hidden="false" customHeight="true" outlineLevel="0" collapsed="false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customFormat="false" ht="14.25" hidden="false" customHeight="true" outlineLevel="0" collapsed="false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customFormat="false" ht="14.25" hidden="false" customHeight="true" outlineLevel="0" collapsed="false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customFormat="false" ht="14.25" hidden="false" customHeight="true" outlineLevel="0" collapsed="false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customFormat="false" ht="14.25" hidden="false" customHeight="true" outlineLevel="0" collapsed="false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customFormat="false" ht="14.25" hidden="false" customHeight="true" outlineLevel="0" collapsed="false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customFormat="false" ht="14.25" hidden="false" customHeight="true" outlineLevel="0" collapsed="false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customFormat="false" ht="14.25" hidden="false" customHeight="true" outlineLevel="0" collapsed="false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customFormat="false" ht="14.25" hidden="false" customHeight="true" outlineLevel="0" collapsed="false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customFormat="false" ht="14.25" hidden="false" customHeight="true" outlineLevel="0" collapsed="false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customFormat="false" ht="14.25" hidden="false" customHeight="true" outlineLevel="0" collapsed="false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customFormat="false" ht="14.25" hidden="false" customHeight="true" outlineLevel="0" collapsed="false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customFormat="false" ht="14.25" hidden="false" customHeight="true" outlineLevel="0" collapsed="false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customFormat="false" ht="14.25" hidden="false" customHeight="true" outlineLevel="0" collapsed="false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customFormat="false" ht="14.25" hidden="false" customHeight="true" outlineLevel="0" collapsed="false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customFormat="false" ht="14.25" hidden="false" customHeight="true" outlineLevel="0" collapsed="false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customFormat="false" ht="14.25" hidden="false" customHeight="true" outlineLevel="0" collapsed="false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customFormat="false" ht="14.25" hidden="false" customHeight="true" outlineLevel="0" collapsed="false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customFormat="false" ht="14.25" hidden="false" customHeight="true" outlineLevel="0" collapsed="false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customFormat="false" ht="14.25" hidden="false" customHeight="true" outlineLevel="0" collapsed="false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customFormat="false" ht="14.25" hidden="false" customHeight="true" outlineLevel="0" collapsed="false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customFormat="false" ht="14.25" hidden="false" customHeight="true" outlineLevel="0" collapsed="false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customFormat="false" ht="14.25" hidden="false" customHeight="true" outlineLevel="0" collapsed="false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customFormat="false" ht="14.25" hidden="false" customHeight="true" outlineLevel="0" collapsed="false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customFormat="false" ht="14.25" hidden="false" customHeight="true" outlineLevel="0" collapsed="false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customFormat="false" ht="14.25" hidden="false" customHeight="true" outlineLevel="0" collapsed="false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customFormat="false" ht="14.25" hidden="false" customHeight="true" outlineLevel="0" collapsed="false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customFormat="false" ht="14.25" hidden="false" customHeight="true" outlineLevel="0" collapsed="false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customFormat="false" ht="14.25" hidden="false" customHeight="true" outlineLevel="0" collapsed="false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customFormat="false" ht="14.25" hidden="false" customHeight="true" outlineLevel="0" collapsed="false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customFormat="false" ht="14.25" hidden="false" customHeight="true" outlineLevel="0" collapsed="false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customFormat="false" ht="14.25" hidden="false" customHeight="true" outlineLevel="0" collapsed="false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customFormat="false" ht="14.25" hidden="false" customHeight="true" outlineLevel="0" collapsed="false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customFormat="false" ht="14.25" hidden="false" customHeight="true" outlineLevel="0" collapsed="false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customFormat="false" ht="14.25" hidden="false" customHeight="true" outlineLevel="0" collapsed="false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customFormat="false" ht="14.25" hidden="false" customHeight="true" outlineLevel="0" collapsed="false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customFormat="false" ht="14.25" hidden="false" customHeight="true" outlineLevel="0" collapsed="false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customFormat="false" ht="14.25" hidden="false" customHeight="true" outlineLevel="0" collapsed="false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customFormat="false" ht="14.25" hidden="false" customHeight="true" outlineLevel="0" collapsed="false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customFormat="false" ht="14.25" hidden="false" customHeight="true" outlineLevel="0" collapsed="false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customFormat="false" ht="14.25" hidden="false" customHeight="true" outlineLevel="0" collapsed="false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customFormat="false" ht="14.25" hidden="false" customHeight="true" outlineLevel="0" collapsed="false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customFormat="false" ht="14.25" hidden="false" customHeight="true" outlineLevel="0" collapsed="false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customFormat="false" ht="14.25" hidden="false" customHeight="true" outlineLevel="0" collapsed="false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customFormat="false" ht="14.25" hidden="false" customHeight="true" outlineLevel="0" collapsed="false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customFormat="false" ht="14.25" hidden="false" customHeight="true" outlineLevel="0" collapsed="false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customFormat="false" ht="14.25" hidden="false" customHeight="true" outlineLevel="0" collapsed="false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customFormat="false" ht="14.25" hidden="false" customHeight="true" outlineLevel="0" collapsed="false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customFormat="false" ht="14.25" hidden="false" customHeight="true" outlineLevel="0" collapsed="false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customFormat="false" ht="14.25" hidden="false" customHeight="true" outlineLevel="0" collapsed="false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customFormat="false" ht="14.25" hidden="false" customHeight="true" outlineLevel="0" collapsed="false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customFormat="false" ht="14.25" hidden="false" customHeight="true" outlineLevel="0" collapsed="false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customFormat="false" ht="14.25" hidden="false" customHeight="true" outlineLevel="0" collapsed="false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customFormat="false" ht="14.25" hidden="false" customHeight="true" outlineLevel="0" collapsed="false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customFormat="false" ht="14.25" hidden="false" customHeight="true" outlineLevel="0" collapsed="false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customFormat="false" ht="14.25" hidden="false" customHeight="true" outlineLevel="0" collapsed="false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customFormat="false" ht="14.25" hidden="false" customHeight="true" outlineLevel="0" collapsed="false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customFormat="false" ht="14.25" hidden="false" customHeight="true" outlineLevel="0" collapsed="false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customFormat="false" ht="14.25" hidden="false" customHeight="true" outlineLevel="0" collapsed="false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customFormat="false" ht="14.25" hidden="false" customHeight="true" outlineLevel="0" collapsed="false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customFormat="false" ht="14.25" hidden="false" customHeight="true" outlineLevel="0" collapsed="false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customFormat="false" ht="14.25" hidden="false" customHeight="true" outlineLevel="0" collapsed="false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customFormat="false" ht="14.25" hidden="false" customHeight="true" outlineLevel="0" collapsed="false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customFormat="false" ht="14.25" hidden="false" customHeight="true" outlineLevel="0" collapsed="false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customFormat="false" ht="14.25" hidden="false" customHeight="true" outlineLevel="0" collapsed="false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customFormat="false" ht="14.25" hidden="false" customHeight="true" outlineLevel="0" collapsed="false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customFormat="false" ht="14.25" hidden="false" customHeight="true" outlineLevel="0" collapsed="false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customFormat="false" ht="14.25" hidden="false" customHeight="true" outlineLevel="0" collapsed="false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customFormat="false" ht="14.25" hidden="false" customHeight="true" outlineLevel="0" collapsed="false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customFormat="false" ht="14.25" hidden="false" customHeight="true" outlineLevel="0" collapsed="false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customFormat="false" ht="14.25" hidden="false" customHeight="true" outlineLevel="0" collapsed="false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customFormat="false" ht="14.25" hidden="false" customHeight="true" outlineLevel="0" collapsed="false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customFormat="false" ht="14.25" hidden="false" customHeight="true" outlineLevel="0" collapsed="false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customFormat="false" ht="14.25" hidden="false" customHeight="true" outlineLevel="0" collapsed="false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customFormat="false" ht="14.25" hidden="false" customHeight="true" outlineLevel="0" collapsed="false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customFormat="false" ht="14.25" hidden="false" customHeight="true" outlineLevel="0" collapsed="false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customFormat="false" ht="14.25" hidden="false" customHeight="true" outlineLevel="0" collapsed="false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customFormat="false" ht="14.25" hidden="false" customHeight="true" outlineLevel="0" collapsed="false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customFormat="false" ht="14.25" hidden="false" customHeight="true" outlineLevel="0" collapsed="false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customFormat="false" ht="14.25" hidden="false" customHeight="true" outlineLevel="0" collapsed="false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customFormat="false" ht="14.25" hidden="false" customHeight="true" outlineLevel="0" collapsed="false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customFormat="false" ht="14.25" hidden="false" customHeight="true" outlineLevel="0" collapsed="false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customFormat="false" ht="14.25" hidden="false" customHeight="true" outlineLevel="0" collapsed="false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customFormat="false" ht="14.25" hidden="false" customHeight="true" outlineLevel="0" collapsed="false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customFormat="false" ht="14.25" hidden="false" customHeight="true" outlineLevel="0" collapsed="false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customFormat="false" ht="14.25" hidden="false" customHeight="true" outlineLevel="0" collapsed="false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customFormat="false" ht="14.25" hidden="false" customHeight="true" outlineLevel="0" collapsed="false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customFormat="false" ht="14.25" hidden="false" customHeight="true" outlineLevel="0" collapsed="false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customFormat="false" ht="14.25" hidden="false" customHeight="true" outlineLevel="0" collapsed="false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customFormat="false" ht="14.25" hidden="false" customHeight="true" outlineLevel="0" collapsed="false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customFormat="false" ht="14.25" hidden="false" customHeight="true" outlineLevel="0" collapsed="false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customFormat="false" ht="14.25" hidden="false" customHeight="true" outlineLevel="0" collapsed="false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customFormat="false" ht="14.25" hidden="false" customHeight="true" outlineLevel="0" collapsed="false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customFormat="false" ht="14.25" hidden="false" customHeight="true" outlineLevel="0" collapsed="false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customFormat="false" ht="14.25" hidden="false" customHeight="true" outlineLevel="0" collapsed="false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customFormat="false" ht="14.25" hidden="false" customHeight="true" outlineLevel="0" collapsed="false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customFormat="false" ht="14.25" hidden="false" customHeight="true" outlineLevel="0" collapsed="false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customFormat="false" ht="14.25" hidden="false" customHeight="true" outlineLevel="0" collapsed="false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customFormat="false" ht="14.25" hidden="false" customHeight="true" outlineLevel="0" collapsed="false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customFormat="false" ht="14.25" hidden="false" customHeight="true" outlineLevel="0" collapsed="false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customFormat="false" ht="14.25" hidden="false" customHeight="true" outlineLevel="0" collapsed="false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customFormat="false" ht="14.25" hidden="false" customHeight="true" outlineLevel="0" collapsed="false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customFormat="false" ht="14.25" hidden="false" customHeight="true" outlineLevel="0" collapsed="false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customFormat="false" ht="14.25" hidden="false" customHeight="true" outlineLevel="0" collapsed="false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customFormat="false" ht="14.25" hidden="false" customHeight="true" outlineLevel="0" collapsed="false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customFormat="false" ht="14.25" hidden="false" customHeight="true" outlineLevel="0" collapsed="false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customFormat="false" ht="14.25" hidden="false" customHeight="true" outlineLevel="0" collapsed="false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customFormat="false" ht="14.25" hidden="false" customHeight="true" outlineLevel="0" collapsed="false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customFormat="false" ht="14.25" hidden="false" customHeight="true" outlineLevel="0" collapsed="false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customFormat="false" ht="14.25" hidden="false" customHeight="true" outlineLevel="0" collapsed="false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customFormat="false" ht="14.25" hidden="false" customHeight="true" outlineLevel="0" collapsed="false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customFormat="false" ht="14.25" hidden="false" customHeight="true" outlineLevel="0" collapsed="false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customFormat="false" ht="14.25" hidden="false" customHeight="true" outlineLevel="0" collapsed="false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customFormat="false" ht="14.25" hidden="false" customHeight="true" outlineLevel="0" collapsed="false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customFormat="false" ht="14.25" hidden="false" customHeight="true" outlineLevel="0" collapsed="false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customFormat="false" ht="14.25" hidden="false" customHeight="true" outlineLevel="0" collapsed="false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customFormat="false" ht="14.25" hidden="false" customHeight="true" outlineLevel="0" collapsed="false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customFormat="false" ht="14.25" hidden="false" customHeight="true" outlineLevel="0" collapsed="false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customFormat="false" ht="14.25" hidden="false" customHeight="true" outlineLevel="0" collapsed="false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customFormat="false" ht="14.25" hidden="false" customHeight="true" outlineLevel="0" collapsed="false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customFormat="false" ht="14.25" hidden="false" customHeight="true" outlineLevel="0" collapsed="false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customFormat="false" ht="14.25" hidden="false" customHeight="true" outlineLevel="0" collapsed="false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customFormat="false" ht="14.25" hidden="false" customHeight="true" outlineLevel="0" collapsed="false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customFormat="false" ht="14.25" hidden="false" customHeight="true" outlineLevel="0" collapsed="false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customFormat="false" ht="14.25" hidden="false" customHeight="true" outlineLevel="0" collapsed="false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customFormat="false" ht="14.25" hidden="false" customHeight="true" outlineLevel="0" collapsed="false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customFormat="false" ht="14.25" hidden="false" customHeight="true" outlineLevel="0" collapsed="false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customFormat="false" ht="14.25" hidden="false" customHeight="true" outlineLevel="0" collapsed="false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customFormat="false" ht="14.25" hidden="false" customHeight="true" outlineLevel="0" collapsed="false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customFormat="false" ht="14.25" hidden="false" customHeight="true" outlineLevel="0" collapsed="false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customFormat="false" ht="14.25" hidden="false" customHeight="true" outlineLevel="0" collapsed="false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customFormat="false" ht="14.25" hidden="false" customHeight="true" outlineLevel="0" collapsed="false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customFormat="false" ht="14.25" hidden="false" customHeight="true" outlineLevel="0" collapsed="false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customFormat="false" ht="14.25" hidden="false" customHeight="true" outlineLevel="0" collapsed="false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customFormat="false" ht="14.25" hidden="false" customHeight="true" outlineLevel="0" collapsed="false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customFormat="false" ht="14.25" hidden="false" customHeight="true" outlineLevel="0" collapsed="false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customFormat="false" ht="14.25" hidden="false" customHeight="true" outlineLevel="0" collapsed="false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customFormat="false" ht="14.25" hidden="false" customHeight="true" outlineLevel="0" collapsed="false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customFormat="false" ht="14.25" hidden="false" customHeight="true" outlineLevel="0" collapsed="false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customFormat="false" ht="14.25" hidden="false" customHeight="true" outlineLevel="0" collapsed="false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customFormat="false" ht="14.25" hidden="false" customHeight="true" outlineLevel="0" collapsed="false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customFormat="false" ht="14.25" hidden="false" customHeight="true" outlineLevel="0" collapsed="false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customFormat="false" ht="14.25" hidden="false" customHeight="true" outlineLevel="0" collapsed="false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customFormat="false" ht="14.25" hidden="false" customHeight="true" outlineLevel="0" collapsed="false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customFormat="false" ht="14.25" hidden="false" customHeight="true" outlineLevel="0" collapsed="false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customFormat="false" ht="14.25" hidden="false" customHeight="true" outlineLevel="0" collapsed="false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customFormat="false" ht="14.25" hidden="false" customHeight="true" outlineLevel="0" collapsed="false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customFormat="false" ht="14.25" hidden="false" customHeight="true" outlineLevel="0" collapsed="false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customFormat="false" ht="14.25" hidden="false" customHeight="true" outlineLevel="0" collapsed="false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customFormat="false" ht="14.25" hidden="false" customHeight="true" outlineLevel="0" collapsed="false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customFormat="false" ht="14.25" hidden="false" customHeight="true" outlineLevel="0" collapsed="false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customFormat="false" ht="14.25" hidden="false" customHeight="true" outlineLevel="0" collapsed="false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customFormat="false" ht="14.25" hidden="false" customHeight="true" outlineLevel="0" collapsed="false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customFormat="false" ht="14.25" hidden="false" customHeight="true" outlineLevel="0" collapsed="false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customFormat="false" ht="14.25" hidden="false" customHeight="true" outlineLevel="0" collapsed="false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customFormat="false" ht="14.25" hidden="false" customHeight="true" outlineLevel="0" collapsed="false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customFormat="false" ht="14.25" hidden="false" customHeight="true" outlineLevel="0" collapsed="false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customFormat="false" ht="14.25" hidden="false" customHeight="true" outlineLevel="0" collapsed="false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customFormat="false" ht="14.25" hidden="false" customHeight="true" outlineLevel="0" collapsed="false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customFormat="false" ht="14.25" hidden="false" customHeight="true" outlineLevel="0" collapsed="false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customFormat="false" ht="14.25" hidden="false" customHeight="true" outlineLevel="0" collapsed="false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customFormat="false" ht="14.25" hidden="false" customHeight="true" outlineLevel="0" collapsed="false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customFormat="false" ht="14.25" hidden="false" customHeight="true" outlineLevel="0" collapsed="false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customFormat="false" ht="14.25" hidden="false" customHeight="true" outlineLevel="0" collapsed="false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customFormat="false" ht="14.25" hidden="false" customHeight="true" outlineLevel="0" collapsed="false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customFormat="false" ht="14.25" hidden="false" customHeight="true" outlineLevel="0" collapsed="false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customFormat="false" ht="14.25" hidden="false" customHeight="true" outlineLevel="0" collapsed="false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customFormat="false" ht="14.25" hidden="false" customHeight="true" outlineLevel="0" collapsed="false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customFormat="false" ht="14.25" hidden="false" customHeight="true" outlineLevel="0" collapsed="false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customFormat="false" ht="14.25" hidden="false" customHeight="true" outlineLevel="0" collapsed="false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customFormat="false" ht="14.25" hidden="false" customHeight="true" outlineLevel="0" collapsed="false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customFormat="false" ht="14.25" hidden="false" customHeight="true" outlineLevel="0" collapsed="false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customFormat="false" ht="14.25" hidden="false" customHeight="true" outlineLevel="0" collapsed="false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customFormat="false" ht="14.25" hidden="false" customHeight="true" outlineLevel="0" collapsed="false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customFormat="false" ht="14.25" hidden="false" customHeight="true" outlineLevel="0" collapsed="false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customFormat="false" ht="14.25" hidden="false" customHeight="true" outlineLevel="0" collapsed="false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customFormat="false" ht="14.25" hidden="false" customHeight="true" outlineLevel="0" collapsed="false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customFormat="false" ht="14.25" hidden="false" customHeight="true" outlineLevel="0" collapsed="false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customFormat="false" ht="14.25" hidden="false" customHeight="true" outlineLevel="0" collapsed="false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customFormat="false" ht="14.25" hidden="false" customHeight="true" outlineLevel="0" collapsed="false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customFormat="false" ht="14.25" hidden="false" customHeight="true" outlineLevel="0" collapsed="false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customFormat="false" ht="14.25" hidden="false" customHeight="true" outlineLevel="0" collapsed="false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customFormat="false" ht="14.25" hidden="false" customHeight="true" outlineLevel="0" collapsed="false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customFormat="false" ht="14.25" hidden="false" customHeight="true" outlineLevel="0" collapsed="false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customFormat="false" ht="14.25" hidden="false" customHeight="true" outlineLevel="0" collapsed="false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customFormat="false" ht="14.25" hidden="false" customHeight="true" outlineLevel="0" collapsed="false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customFormat="false" ht="14.25" hidden="false" customHeight="true" outlineLevel="0" collapsed="false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customFormat="false" ht="14.25" hidden="false" customHeight="true" outlineLevel="0" collapsed="false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customFormat="false" ht="14.25" hidden="false" customHeight="true" outlineLevel="0" collapsed="false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customFormat="false" ht="14.25" hidden="false" customHeight="true" outlineLevel="0" collapsed="false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customFormat="false" ht="14.25" hidden="false" customHeight="true" outlineLevel="0" collapsed="false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customFormat="false" ht="14.25" hidden="false" customHeight="true" outlineLevel="0" collapsed="false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customFormat="false" ht="14.25" hidden="false" customHeight="true" outlineLevel="0" collapsed="false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customFormat="false" ht="14.25" hidden="false" customHeight="true" outlineLevel="0" collapsed="false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customFormat="false" ht="14.25" hidden="false" customHeight="true" outlineLevel="0" collapsed="false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customFormat="false" ht="14.25" hidden="false" customHeight="true" outlineLevel="0" collapsed="false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customFormat="false" ht="14.25" hidden="false" customHeight="true" outlineLevel="0" collapsed="false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customFormat="false" ht="14.25" hidden="false" customHeight="true" outlineLevel="0" collapsed="false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customFormat="false" ht="14.25" hidden="false" customHeight="true" outlineLevel="0" collapsed="false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customFormat="false" ht="14.25" hidden="false" customHeight="true" outlineLevel="0" collapsed="false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customFormat="false" ht="14.25" hidden="false" customHeight="true" outlineLevel="0" collapsed="false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customFormat="false" ht="14.25" hidden="false" customHeight="true" outlineLevel="0" collapsed="false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customFormat="false" ht="14.25" hidden="false" customHeight="true" outlineLevel="0" collapsed="false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customFormat="false" ht="14.25" hidden="false" customHeight="true" outlineLevel="0" collapsed="false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customFormat="false" ht="14.25" hidden="false" customHeight="true" outlineLevel="0" collapsed="false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customFormat="false" ht="14.25" hidden="false" customHeight="true" outlineLevel="0" collapsed="false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customFormat="false" ht="14.25" hidden="false" customHeight="true" outlineLevel="0" collapsed="false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customFormat="false" ht="14.25" hidden="false" customHeight="true" outlineLevel="0" collapsed="false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customFormat="false" ht="14.25" hidden="false" customHeight="true" outlineLevel="0" collapsed="false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customFormat="false" ht="14.25" hidden="false" customHeight="true" outlineLevel="0" collapsed="false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customFormat="false" ht="14.25" hidden="false" customHeight="true" outlineLevel="0" collapsed="false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customFormat="false" ht="14.25" hidden="false" customHeight="true" outlineLevel="0" collapsed="false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customFormat="false" ht="14.25" hidden="false" customHeight="true" outlineLevel="0" collapsed="false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customFormat="false" ht="14.25" hidden="false" customHeight="true" outlineLevel="0" collapsed="false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customFormat="false" ht="14.25" hidden="false" customHeight="true" outlineLevel="0" collapsed="false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customFormat="false" ht="14.25" hidden="false" customHeight="true" outlineLevel="0" collapsed="false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customFormat="false" ht="14.25" hidden="false" customHeight="true" outlineLevel="0" collapsed="false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customFormat="false" ht="14.25" hidden="false" customHeight="true" outlineLevel="0" collapsed="false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customFormat="false" ht="14.25" hidden="false" customHeight="true" outlineLevel="0" collapsed="false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customFormat="false" ht="14.25" hidden="false" customHeight="true" outlineLevel="0" collapsed="false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customFormat="false" ht="14.25" hidden="false" customHeight="true" outlineLevel="0" collapsed="false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customFormat="false" ht="14.25" hidden="false" customHeight="true" outlineLevel="0" collapsed="false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customFormat="false" ht="14.25" hidden="false" customHeight="true" outlineLevel="0" collapsed="false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customFormat="false" ht="14.25" hidden="false" customHeight="true" outlineLevel="0" collapsed="false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customFormat="false" ht="14.25" hidden="false" customHeight="true" outlineLevel="0" collapsed="false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customFormat="false" ht="14.25" hidden="false" customHeight="true" outlineLevel="0" collapsed="false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customFormat="false" ht="14.25" hidden="false" customHeight="true" outlineLevel="0" collapsed="false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customFormat="false" ht="14.25" hidden="false" customHeight="true" outlineLevel="0" collapsed="false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customFormat="false" ht="14.25" hidden="false" customHeight="true" outlineLevel="0" collapsed="false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customFormat="false" ht="14.25" hidden="false" customHeight="true" outlineLevel="0" collapsed="false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customFormat="false" ht="14.25" hidden="false" customHeight="true" outlineLevel="0" collapsed="false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customFormat="false" ht="14.25" hidden="false" customHeight="true" outlineLevel="0" collapsed="false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customFormat="false" ht="14.25" hidden="false" customHeight="true" outlineLevel="0" collapsed="false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customFormat="false" ht="14.25" hidden="false" customHeight="true" outlineLevel="0" collapsed="false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customFormat="false" ht="14.25" hidden="false" customHeight="true" outlineLevel="0" collapsed="false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customFormat="false" ht="14.25" hidden="false" customHeight="true" outlineLevel="0" collapsed="false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customFormat="false" ht="14.25" hidden="false" customHeight="true" outlineLevel="0" collapsed="false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customFormat="false" ht="14.25" hidden="false" customHeight="true" outlineLevel="0" collapsed="false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customFormat="false" ht="14.25" hidden="false" customHeight="true" outlineLevel="0" collapsed="false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customFormat="false" ht="14.25" hidden="false" customHeight="true" outlineLevel="0" collapsed="false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customFormat="false" ht="14.25" hidden="false" customHeight="true" outlineLevel="0" collapsed="false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customFormat="false" ht="14.25" hidden="false" customHeight="true" outlineLevel="0" collapsed="false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customFormat="false" ht="14.25" hidden="false" customHeight="true" outlineLevel="0" collapsed="false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customFormat="false" ht="14.25" hidden="false" customHeight="true" outlineLevel="0" collapsed="false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customFormat="false" ht="14.25" hidden="false" customHeight="true" outlineLevel="0" collapsed="false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customFormat="false" ht="14.25" hidden="false" customHeight="true" outlineLevel="0" collapsed="false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customFormat="false" ht="14.25" hidden="false" customHeight="true" outlineLevel="0" collapsed="false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customFormat="false" ht="14.25" hidden="false" customHeight="true" outlineLevel="0" collapsed="false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customFormat="false" ht="14.25" hidden="false" customHeight="true" outlineLevel="0" collapsed="false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customFormat="false" ht="14.25" hidden="false" customHeight="true" outlineLevel="0" collapsed="false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customFormat="false" ht="14.25" hidden="false" customHeight="true" outlineLevel="0" collapsed="false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customFormat="false" ht="14.25" hidden="false" customHeight="true" outlineLevel="0" collapsed="false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customFormat="false" ht="14.25" hidden="false" customHeight="true" outlineLevel="0" collapsed="false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customFormat="false" ht="14.25" hidden="false" customHeight="true" outlineLevel="0" collapsed="false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customFormat="false" ht="14.25" hidden="false" customHeight="true" outlineLevel="0" collapsed="false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customFormat="false" ht="14.25" hidden="false" customHeight="true" outlineLevel="0" collapsed="false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customFormat="false" ht="14.25" hidden="false" customHeight="true" outlineLevel="0" collapsed="false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customFormat="false" ht="14.25" hidden="false" customHeight="true" outlineLevel="0" collapsed="false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customFormat="false" ht="14.25" hidden="false" customHeight="true" outlineLevel="0" collapsed="false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customFormat="false" ht="14.25" hidden="false" customHeight="true" outlineLevel="0" collapsed="false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customFormat="false" ht="14.25" hidden="false" customHeight="true" outlineLevel="0" collapsed="false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customFormat="false" ht="14.25" hidden="false" customHeight="true" outlineLevel="0" collapsed="false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customFormat="false" ht="14.25" hidden="false" customHeight="true" outlineLevel="0" collapsed="false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customFormat="false" ht="14.25" hidden="false" customHeight="true" outlineLevel="0" collapsed="false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customFormat="false" ht="14.25" hidden="false" customHeight="true" outlineLevel="0" collapsed="false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customFormat="false" ht="14.25" hidden="false" customHeight="true" outlineLevel="0" collapsed="false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customFormat="false" ht="14.25" hidden="false" customHeight="true" outlineLevel="0" collapsed="false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customFormat="false" ht="14.25" hidden="false" customHeight="true" outlineLevel="0" collapsed="false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customFormat="false" ht="14.25" hidden="false" customHeight="true" outlineLevel="0" collapsed="false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customFormat="false" ht="14.25" hidden="false" customHeight="true" outlineLevel="0" collapsed="false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customFormat="false" ht="14.25" hidden="false" customHeight="true" outlineLevel="0" collapsed="false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customFormat="false" ht="14.25" hidden="false" customHeight="true" outlineLevel="0" collapsed="false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customFormat="false" ht="14.25" hidden="false" customHeight="true" outlineLevel="0" collapsed="false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customFormat="false" ht="14.25" hidden="false" customHeight="true" outlineLevel="0" collapsed="false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customFormat="false" ht="14.25" hidden="false" customHeight="true" outlineLevel="0" collapsed="false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customFormat="false" ht="14.25" hidden="false" customHeight="true" outlineLevel="0" collapsed="false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customFormat="false" ht="14.25" hidden="false" customHeight="true" outlineLevel="0" collapsed="false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customFormat="false" ht="14.25" hidden="false" customHeight="true" outlineLevel="0" collapsed="false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customFormat="false" ht="14.25" hidden="false" customHeight="true" outlineLevel="0" collapsed="false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customFormat="false" ht="14.25" hidden="false" customHeight="true" outlineLevel="0" collapsed="false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customFormat="false" ht="14.25" hidden="false" customHeight="true" outlineLevel="0" collapsed="false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customFormat="false" ht="14.25" hidden="false" customHeight="true" outlineLevel="0" collapsed="false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customFormat="false" ht="14.25" hidden="false" customHeight="true" outlineLevel="0" collapsed="false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customFormat="false" ht="14.25" hidden="false" customHeight="true" outlineLevel="0" collapsed="false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customFormat="false" ht="14.25" hidden="false" customHeight="true" outlineLevel="0" collapsed="false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customFormat="false" ht="14.25" hidden="false" customHeight="true" outlineLevel="0" collapsed="false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customFormat="false" ht="14.25" hidden="false" customHeight="true" outlineLevel="0" collapsed="false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customFormat="false" ht="14.25" hidden="false" customHeight="true" outlineLevel="0" collapsed="false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customFormat="false" ht="14.25" hidden="false" customHeight="true" outlineLevel="0" collapsed="false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customFormat="false" ht="14.25" hidden="false" customHeight="true" outlineLevel="0" collapsed="false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customFormat="false" ht="14.25" hidden="false" customHeight="true" outlineLevel="0" collapsed="false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customFormat="false" ht="14.25" hidden="false" customHeight="true" outlineLevel="0" collapsed="false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customFormat="false" ht="14.25" hidden="false" customHeight="true" outlineLevel="0" collapsed="false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customFormat="false" ht="14.25" hidden="false" customHeight="true" outlineLevel="0" collapsed="false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customFormat="false" ht="14.25" hidden="false" customHeight="true" outlineLevel="0" collapsed="false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customFormat="false" ht="14.25" hidden="false" customHeight="true" outlineLevel="0" collapsed="false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customFormat="false" ht="14.25" hidden="false" customHeight="true" outlineLevel="0" collapsed="false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customFormat="false" ht="14.25" hidden="false" customHeight="true" outlineLevel="0" collapsed="false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customFormat="false" ht="14.25" hidden="false" customHeight="true" outlineLevel="0" collapsed="false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customFormat="false" ht="14.25" hidden="false" customHeight="true" outlineLevel="0" collapsed="false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customFormat="false" ht="14.25" hidden="false" customHeight="true" outlineLevel="0" collapsed="false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customFormat="false" ht="14.25" hidden="false" customHeight="true" outlineLevel="0" collapsed="false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customFormat="false" ht="14.25" hidden="false" customHeight="true" outlineLevel="0" collapsed="false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customFormat="false" ht="14.25" hidden="false" customHeight="true" outlineLevel="0" collapsed="false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customFormat="false" ht="14.25" hidden="false" customHeight="true" outlineLevel="0" collapsed="false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customFormat="false" ht="14.25" hidden="false" customHeight="true" outlineLevel="0" collapsed="false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customFormat="false" ht="14.25" hidden="false" customHeight="true" outlineLevel="0" collapsed="false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customFormat="false" ht="14.25" hidden="false" customHeight="true" outlineLevel="0" collapsed="false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customFormat="false" ht="14.25" hidden="false" customHeight="true" outlineLevel="0" collapsed="false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customFormat="false" ht="14.25" hidden="false" customHeight="true" outlineLevel="0" collapsed="false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customFormat="false" ht="14.25" hidden="false" customHeight="true" outlineLevel="0" collapsed="false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customFormat="false" ht="14.25" hidden="false" customHeight="true" outlineLevel="0" collapsed="false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customFormat="false" ht="14.25" hidden="false" customHeight="true" outlineLevel="0" collapsed="false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customFormat="false" ht="14.25" hidden="false" customHeight="true" outlineLevel="0" collapsed="false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customFormat="false" ht="14.25" hidden="false" customHeight="true" outlineLevel="0" collapsed="false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customFormat="false" ht="14.25" hidden="false" customHeight="true" outlineLevel="0" collapsed="false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customFormat="false" ht="14.25" hidden="false" customHeight="true" outlineLevel="0" collapsed="false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customFormat="false" ht="14.25" hidden="false" customHeight="true" outlineLevel="0" collapsed="false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customFormat="false" ht="14.25" hidden="false" customHeight="true" outlineLevel="0" collapsed="false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customFormat="false" ht="14.25" hidden="false" customHeight="true" outlineLevel="0" collapsed="false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customFormat="false" ht="14.25" hidden="false" customHeight="true" outlineLevel="0" collapsed="false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customFormat="false" ht="14.25" hidden="false" customHeight="true" outlineLevel="0" collapsed="false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customFormat="false" ht="14.25" hidden="false" customHeight="true" outlineLevel="0" collapsed="false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customFormat="false" ht="14.25" hidden="false" customHeight="true" outlineLevel="0" collapsed="false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customFormat="false" ht="14.25" hidden="false" customHeight="true" outlineLevel="0" collapsed="false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customFormat="false" ht="14.25" hidden="false" customHeight="true" outlineLevel="0" collapsed="false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customFormat="false" ht="14.25" hidden="false" customHeight="true" outlineLevel="0" collapsed="false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customFormat="false" ht="14.25" hidden="false" customHeight="true" outlineLevel="0" collapsed="false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customFormat="false" ht="14.25" hidden="false" customHeight="true" outlineLevel="0" collapsed="false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customFormat="false" ht="14.25" hidden="false" customHeight="true" outlineLevel="0" collapsed="false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customFormat="false" ht="14.25" hidden="false" customHeight="true" outlineLevel="0" collapsed="false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customFormat="false" ht="14.25" hidden="false" customHeight="true" outlineLevel="0" collapsed="false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customFormat="false" ht="14.25" hidden="false" customHeight="true" outlineLevel="0" collapsed="false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customFormat="false" ht="14.25" hidden="false" customHeight="true" outlineLevel="0" collapsed="false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customFormat="false" ht="14.25" hidden="false" customHeight="true" outlineLevel="0" collapsed="false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customFormat="false" ht="14.25" hidden="false" customHeight="true" outlineLevel="0" collapsed="false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customFormat="false" ht="14.25" hidden="false" customHeight="true" outlineLevel="0" collapsed="false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customFormat="false" ht="14.25" hidden="false" customHeight="true" outlineLevel="0" collapsed="false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customFormat="false" ht="14.25" hidden="false" customHeight="true" outlineLevel="0" collapsed="false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customFormat="false" ht="14.25" hidden="false" customHeight="true" outlineLevel="0" collapsed="false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customFormat="false" ht="14.25" hidden="false" customHeight="true" outlineLevel="0" collapsed="false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customFormat="false" ht="14.25" hidden="false" customHeight="true" outlineLevel="0" collapsed="false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customFormat="false" ht="14.25" hidden="false" customHeight="true" outlineLevel="0" collapsed="false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customFormat="false" ht="14.25" hidden="false" customHeight="true" outlineLevel="0" collapsed="false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customFormat="false" ht="14.25" hidden="false" customHeight="true" outlineLevel="0" collapsed="false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customFormat="false" ht="14.25" hidden="false" customHeight="true" outlineLevel="0" collapsed="false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customFormat="false" ht="14.25" hidden="false" customHeight="true" outlineLevel="0" collapsed="false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customFormat="false" ht="14.25" hidden="false" customHeight="true" outlineLevel="0" collapsed="false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customFormat="false" ht="14.25" hidden="false" customHeight="true" outlineLevel="0" collapsed="false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customFormat="false" ht="14.25" hidden="false" customHeight="true" outlineLevel="0" collapsed="false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customFormat="false" ht="14.25" hidden="false" customHeight="true" outlineLevel="0" collapsed="false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customFormat="false" ht="14.25" hidden="false" customHeight="true" outlineLevel="0" collapsed="false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customFormat="false" ht="14.25" hidden="false" customHeight="true" outlineLevel="0" collapsed="false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customFormat="false" ht="14.25" hidden="false" customHeight="true" outlineLevel="0" collapsed="false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customFormat="false" ht="14.25" hidden="false" customHeight="true" outlineLevel="0" collapsed="false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customFormat="false" ht="14.25" hidden="false" customHeight="true" outlineLevel="0" collapsed="false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customFormat="false" ht="14.25" hidden="false" customHeight="true" outlineLevel="0" collapsed="false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customFormat="false" ht="14.25" hidden="false" customHeight="true" outlineLevel="0" collapsed="false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customFormat="false" ht="14.25" hidden="false" customHeight="true" outlineLevel="0" collapsed="false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customFormat="false" ht="14.25" hidden="false" customHeight="true" outlineLevel="0" collapsed="false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customFormat="false" ht="14.25" hidden="false" customHeight="true" outlineLevel="0" collapsed="false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customFormat="false" ht="14.25" hidden="false" customHeight="true" outlineLevel="0" collapsed="false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customFormat="false" ht="14.25" hidden="false" customHeight="true" outlineLevel="0" collapsed="false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customFormat="false" ht="14.25" hidden="false" customHeight="true" outlineLevel="0" collapsed="false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customFormat="false" ht="14.25" hidden="false" customHeight="true" outlineLevel="0" collapsed="false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customFormat="false" ht="14.25" hidden="false" customHeight="true" outlineLevel="0" collapsed="false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customFormat="false" ht="14.25" hidden="false" customHeight="true" outlineLevel="0" collapsed="false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customFormat="false" ht="14.25" hidden="false" customHeight="true" outlineLevel="0" collapsed="false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customFormat="false" ht="14.25" hidden="false" customHeight="true" outlineLevel="0" collapsed="false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customFormat="false" ht="14.25" hidden="false" customHeight="true" outlineLevel="0" collapsed="false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customFormat="false" ht="14.25" hidden="false" customHeight="true" outlineLevel="0" collapsed="false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customFormat="false" ht="14.25" hidden="false" customHeight="true" outlineLevel="0" collapsed="false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customFormat="false" ht="14.25" hidden="false" customHeight="true" outlineLevel="0" collapsed="false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customFormat="false" ht="14.25" hidden="false" customHeight="true" outlineLevel="0" collapsed="false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customFormat="false" ht="14.25" hidden="false" customHeight="true" outlineLevel="0" collapsed="false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customFormat="false" ht="14.25" hidden="false" customHeight="true" outlineLevel="0" collapsed="false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customFormat="false" ht="14.25" hidden="false" customHeight="true" outlineLevel="0" collapsed="false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customFormat="false" ht="14.25" hidden="false" customHeight="true" outlineLevel="0" collapsed="false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customFormat="false" ht="14.25" hidden="false" customHeight="true" outlineLevel="0" collapsed="false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customFormat="false" ht="14.25" hidden="false" customHeight="true" outlineLevel="0" collapsed="false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customFormat="false" ht="14.25" hidden="false" customHeight="true" outlineLevel="0" collapsed="false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customFormat="false" ht="14.25" hidden="false" customHeight="true" outlineLevel="0" collapsed="false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customFormat="false" ht="14.25" hidden="false" customHeight="true" outlineLevel="0" collapsed="false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customFormat="false" ht="14.25" hidden="false" customHeight="true" outlineLevel="0" collapsed="false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customFormat="false" ht="14.25" hidden="false" customHeight="true" outlineLevel="0" collapsed="false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customFormat="false" ht="14.25" hidden="false" customHeight="true" outlineLevel="0" collapsed="false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customFormat="false" ht="14.25" hidden="false" customHeight="true" outlineLevel="0" collapsed="false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customFormat="false" ht="14.25" hidden="false" customHeight="true" outlineLevel="0" collapsed="false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customFormat="false" ht="14.25" hidden="false" customHeight="true" outlineLevel="0" collapsed="false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customFormat="false" ht="14.25" hidden="false" customHeight="true" outlineLevel="0" collapsed="false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customFormat="false" ht="14.25" hidden="false" customHeight="true" outlineLevel="0" collapsed="false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customFormat="false" ht="14.25" hidden="false" customHeight="true" outlineLevel="0" collapsed="false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customFormat="false" ht="14.25" hidden="false" customHeight="true" outlineLevel="0" collapsed="false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customFormat="false" ht="14.25" hidden="false" customHeight="true" outlineLevel="0" collapsed="false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customFormat="false" ht="14.25" hidden="false" customHeight="true" outlineLevel="0" collapsed="false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customFormat="false" ht="14.25" hidden="false" customHeight="true" outlineLevel="0" collapsed="false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customFormat="false" ht="14.25" hidden="false" customHeight="true" outlineLevel="0" collapsed="false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customFormat="false" ht="14.25" hidden="false" customHeight="true" outlineLevel="0" collapsed="false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customFormat="false" ht="14.25" hidden="false" customHeight="true" outlineLevel="0" collapsed="false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customFormat="false" ht="14.25" hidden="false" customHeight="true" outlineLevel="0" collapsed="false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customFormat="false" ht="14.25" hidden="false" customHeight="true" outlineLevel="0" collapsed="false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customFormat="false" ht="14.25" hidden="false" customHeight="true" outlineLevel="0" collapsed="false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customFormat="false" ht="14.25" hidden="false" customHeight="true" outlineLevel="0" collapsed="false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customFormat="false" ht="14.25" hidden="false" customHeight="true" outlineLevel="0" collapsed="false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customFormat="false" ht="14.25" hidden="false" customHeight="true" outlineLevel="0" collapsed="false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customFormat="false" ht="14.25" hidden="false" customHeight="true" outlineLevel="0" collapsed="false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customFormat="false" ht="14.25" hidden="false" customHeight="true" outlineLevel="0" collapsed="false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customFormat="false" ht="14.25" hidden="false" customHeight="true" outlineLevel="0" collapsed="false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customFormat="false" ht="14.25" hidden="false" customHeight="true" outlineLevel="0" collapsed="false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customFormat="false" ht="14.25" hidden="false" customHeight="true" outlineLevel="0" collapsed="false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customFormat="false" ht="14.25" hidden="false" customHeight="true" outlineLevel="0" collapsed="false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customFormat="false" ht="14.25" hidden="false" customHeight="true" outlineLevel="0" collapsed="false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customFormat="false" ht="14.25" hidden="false" customHeight="true" outlineLevel="0" collapsed="false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customFormat="false" ht="14.25" hidden="false" customHeight="true" outlineLevel="0" collapsed="false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customFormat="false" ht="14.25" hidden="false" customHeight="true" outlineLevel="0" collapsed="false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customFormat="false" ht="14.25" hidden="false" customHeight="true" outlineLevel="0" collapsed="false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customFormat="false" ht="14.25" hidden="false" customHeight="true" outlineLevel="0" collapsed="false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customFormat="false" ht="14.25" hidden="false" customHeight="true" outlineLevel="0" collapsed="false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customFormat="false" ht="14.25" hidden="false" customHeight="true" outlineLevel="0" collapsed="false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customFormat="false" ht="14.25" hidden="false" customHeight="true" outlineLevel="0" collapsed="false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customFormat="false" ht="14.25" hidden="false" customHeight="true" outlineLevel="0" collapsed="false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customFormat="false" ht="14.25" hidden="false" customHeight="true" outlineLevel="0" collapsed="false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customFormat="false" ht="14.25" hidden="false" customHeight="true" outlineLevel="0" collapsed="false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customFormat="false" ht="14.25" hidden="false" customHeight="true" outlineLevel="0" collapsed="false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customFormat="false" ht="14.25" hidden="false" customHeight="true" outlineLevel="0" collapsed="false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customFormat="false" ht="14.25" hidden="false" customHeight="true" outlineLevel="0" collapsed="false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customFormat="false" ht="14.25" hidden="false" customHeight="true" outlineLevel="0" collapsed="false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customFormat="false" ht="14.25" hidden="false" customHeight="true" outlineLevel="0" collapsed="false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customFormat="false" ht="14.25" hidden="false" customHeight="true" outlineLevel="0" collapsed="false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</sheetData>
  <mergeCells count="5">
    <mergeCell ref="A1:I1"/>
    <mergeCell ref="A3:A5"/>
    <mergeCell ref="B3:B5"/>
    <mergeCell ref="A8:A9"/>
    <mergeCell ref="B8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6A6A6"/>
    <pageSetUpPr fitToPage="false"/>
  </sheetPr>
  <dimension ref="A1:AA9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1.57"/>
    <col collapsed="false" customWidth="true" hidden="false" outlineLevel="0" max="3" min="3" style="0" width="29.29"/>
    <col collapsed="false" customWidth="true" hidden="false" outlineLevel="0" max="5" min="4" style="0" width="23.57"/>
    <col collapsed="false" customWidth="true" hidden="false" outlineLevel="0" max="6" min="6" style="0" width="31.86"/>
    <col collapsed="false" customWidth="true" hidden="false" outlineLevel="0" max="7" min="7" style="0" width="13.43"/>
    <col collapsed="false" customWidth="true" hidden="false" outlineLevel="0" max="8" min="8" style="0" width="24.29"/>
  </cols>
  <sheetData>
    <row r="1" customFormat="false" ht="36.75" hidden="false" customHeight="true" outlineLevel="0" collapsed="false">
      <c r="A1" s="93"/>
      <c r="B1" s="93"/>
      <c r="C1" s="93"/>
      <c r="D1" s="93"/>
      <c r="E1" s="93"/>
      <c r="F1" s="93"/>
      <c r="G1" s="93"/>
      <c r="H1" s="93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</row>
    <row r="2" customFormat="false" ht="15" hidden="false" customHeight="false" outlineLevel="0" collapsed="false">
      <c r="A2" s="94" t="s">
        <v>331</v>
      </c>
      <c r="B2" s="94" t="s">
        <v>53</v>
      </c>
      <c r="C2" s="94" t="s">
        <v>54</v>
      </c>
      <c r="D2" s="94" t="s">
        <v>260</v>
      </c>
      <c r="E2" s="94" t="s">
        <v>262</v>
      </c>
      <c r="F2" s="94" t="s">
        <v>264</v>
      </c>
      <c r="G2" s="94" t="s">
        <v>266</v>
      </c>
      <c r="H2" s="94" t="s">
        <v>268</v>
      </c>
      <c r="I2" s="68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</row>
    <row r="3" customFormat="false" ht="15" hidden="false" customHeight="false" outlineLevel="0" collapsed="false">
      <c r="A3" s="95" t="s">
        <v>332</v>
      </c>
      <c r="B3" s="79" t="s">
        <v>273</v>
      </c>
      <c r="C3" s="95" t="s">
        <v>333</v>
      </c>
      <c r="D3" s="96" t="n">
        <v>90</v>
      </c>
      <c r="E3" s="96" t="n">
        <v>24000</v>
      </c>
      <c r="F3" s="97" t="n">
        <v>0.85</v>
      </c>
      <c r="G3" s="97" t="n">
        <v>0.85</v>
      </c>
      <c r="H3" s="98" t="n">
        <v>0.025</v>
      </c>
      <c r="I3" s="68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</row>
    <row r="4" customFormat="false" ht="15" hidden="false" customHeight="false" outlineLevel="0" collapsed="false">
      <c r="A4" s="95" t="s">
        <v>334</v>
      </c>
      <c r="B4" s="95" t="s">
        <v>286</v>
      </c>
      <c r="C4" s="95" t="s">
        <v>287</v>
      </c>
      <c r="D4" s="96" t="n">
        <v>90</v>
      </c>
      <c r="E4" s="96" t="n">
        <v>24000</v>
      </c>
      <c r="F4" s="97" t="n">
        <v>0.85</v>
      </c>
      <c r="G4" s="97" t="n">
        <v>0.85</v>
      </c>
      <c r="H4" s="98" t="n">
        <v>0.025</v>
      </c>
      <c r="I4" s="68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</row>
    <row r="5" customFormat="false" ht="15" hidden="false" customHeight="false" outlineLevel="0" collapsed="false">
      <c r="A5" s="95" t="s">
        <v>335</v>
      </c>
      <c r="B5" s="95" t="s">
        <v>270</v>
      </c>
      <c r="C5" s="95" t="s">
        <v>271</v>
      </c>
      <c r="D5" s="96" t="n">
        <v>60</v>
      </c>
      <c r="E5" s="96" t="n">
        <v>30000</v>
      </c>
      <c r="F5" s="97" t="n">
        <v>0.85</v>
      </c>
      <c r="G5" s="97" t="n">
        <v>0.87</v>
      </c>
      <c r="H5" s="98" t="n">
        <v>0.03</v>
      </c>
      <c r="I5" s="68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</row>
    <row r="6" customFormat="false" ht="15" hidden="false" customHeight="false" outlineLevel="0" collapsed="false">
      <c r="A6" s="95"/>
      <c r="B6" s="95" t="s">
        <v>274</v>
      </c>
      <c r="C6" s="95" t="s">
        <v>275</v>
      </c>
      <c r="D6" s="96" t="n">
        <v>60</v>
      </c>
      <c r="E6" s="96"/>
      <c r="F6" s="96"/>
      <c r="G6" s="96"/>
      <c r="H6" s="98" t="n">
        <v>0.035</v>
      </c>
      <c r="I6" s="68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</row>
    <row r="7" customFormat="false" ht="15" hidden="false" customHeight="false" outlineLevel="0" collapsed="false">
      <c r="A7" s="95" t="s">
        <v>336</v>
      </c>
      <c r="B7" s="95" t="s">
        <v>280</v>
      </c>
      <c r="C7" s="95" t="s">
        <v>281</v>
      </c>
      <c r="D7" s="96" t="n">
        <v>45</v>
      </c>
      <c r="E7" s="96" t="n">
        <v>34000</v>
      </c>
      <c r="F7" s="97" t="n">
        <v>0.85</v>
      </c>
      <c r="G7" s="97" t="n">
        <v>0.88</v>
      </c>
      <c r="H7" s="98" t="n">
        <v>0.02</v>
      </c>
      <c r="I7" s="68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</row>
    <row r="8" customFormat="false" ht="15" hidden="false" customHeight="false" outlineLevel="0" collapsed="false">
      <c r="A8" s="95" t="s">
        <v>337</v>
      </c>
      <c r="B8" s="95" t="s">
        <v>303</v>
      </c>
      <c r="C8" s="95" t="s">
        <v>304</v>
      </c>
      <c r="D8" s="96" t="n">
        <v>40</v>
      </c>
      <c r="E8" s="96" t="n">
        <v>45000</v>
      </c>
      <c r="F8" s="97" t="n">
        <v>0.86</v>
      </c>
      <c r="G8" s="97" t="n">
        <v>0.87</v>
      </c>
      <c r="H8" s="98" t="n">
        <v>0.025</v>
      </c>
      <c r="I8" s="68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</row>
    <row r="9" customFormat="false" ht="15" hidden="false" customHeight="false" outlineLevel="0" collapsed="false">
      <c r="A9" s="95" t="s">
        <v>338</v>
      </c>
      <c r="B9" s="95" t="s">
        <v>282</v>
      </c>
      <c r="C9" s="95" t="s">
        <v>283</v>
      </c>
      <c r="D9" s="96" t="n">
        <v>80</v>
      </c>
      <c r="E9" s="96" t="n">
        <v>30000</v>
      </c>
      <c r="F9" s="97" t="n">
        <v>0.9</v>
      </c>
      <c r="G9" s="97" t="n">
        <v>0.86</v>
      </c>
      <c r="H9" s="98" t="n">
        <v>0.024</v>
      </c>
      <c r="I9" s="68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</row>
    <row r="10" customFormat="false" ht="15" hidden="false" customHeight="false" outlineLevel="0" collapsed="false">
      <c r="A10" s="95"/>
      <c r="B10" s="95" t="s">
        <v>284</v>
      </c>
      <c r="C10" s="95" t="s">
        <v>285</v>
      </c>
      <c r="D10" s="96" t="n">
        <v>80</v>
      </c>
      <c r="E10" s="96"/>
      <c r="F10" s="96"/>
      <c r="G10" s="96"/>
      <c r="H10" s="99" t="n">
        <v>0.026</v>
      </c>
      <c r="I10" s="68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</row>
    <row r="11" customFormat="false" ht="15" hidden="false" customHeight="false" outlineLevel="0" collapsed="false">
      <c r="A11" s="95" t="s">
        <v>339</v>
      </c>
      <c r="B11" s="95" t="s">
        <v>288</v>
      </c>
      <c r="C11" s="95" t="s">
        <v>289</v>
      </c>
      <c r="D11" s="96" t="n">
        <v>50</v>
      </c>
      <c r="E11" s="96" t="n">
        <v>35000</v>
      </c>
      <c r="F11" s="97" t="n">
        <v>0.87</v>
      </c>
      <c r="G11" s="97" t="n">
        <v>0.85</v>
      </c>
      <c r="H11" s="98" t="n">
        <v>0.031</v>
      </c>
      <c r="I11" s="68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</row>
    <row r="12" customFormat="false" ht="15" hidden="false" customHeight="false" outlineLevel="0" collapsed="false">
      <c r="A12" s="95" t="s">
        <v>340</v>
      </c>
      <c r="B12" s="95" t="s">
        <v>290</v>
      </c>
      <c r="C12" s="95" t="s">
        <v>291</v>
      </c>
      <c r="D12" s="96" t="n">
        <v>50</v>
      </c>
      <c r="E12" s="96" t="n">
        <v>35000</v>
      </c>
      <c r="F12" s="97" t="n">
        <v>0.87</v>
      </c>
      <c r="G12" s="97" t="n">
        <v>0.86</v>
      </c>
      <c r="H12" s="99" t="n">
        <v>0.045</v>
      </c>
      <c r="I12" s="68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</row>
    <row r="13" customFormat="false" ht="15" hidden="false" customHeight="false" outlineLevel="0" collapsed="false">
      <c r="A13" s="95" t="s">
        <v>341</v>
      </c>
      <c r="B13" s="95" t="s">
        <v>276</v>
      </c>
      <c r="C13" s="79" t="s">
        <v>277</v>
      </c>
      <c r="D13" s="96" t="n">
        <v>35</v>
      </c>
      <c r="E13" s="96" t="n">
        <v>57000</v>
      </c>
      <c r="F13" s="97" t="n">
        <v>0.88</v>
      </c>
      <c r="G13" s="97" t="n">
        <v>0.9</v>
      </c>
      <c r="H13" s="98" t="n">
        <v>0.04</v>
      </c>
      <c r="I13" s="68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customFormat="false" ht="15" hidden="false" customHeight="false" outlineLevel="0" collapsed="false">
      <c r="A14" s="95" t="s">
        <v>342</v>
      </c>
      <c r="B14" s="95" t="s">
        <v>278</v>
      </c>
      <c r="C14" s="95" t="s">
        <v>279</v>
      </c>
      <c r="D14" s="96" t="n">
        <v>20</v>
      </c>
      <c r="E14" s="96" t="n">
        <v>100000</v>
      </c>
      <c r="F14" s="97" t="n">
        <v>0.85</v>
      </c>
      <c r="G14" s="97" t="n">
        <v>0.9</v>
      </c>
      <c r="H14" s="98" t="n">
        <v>0.02</v>
      </c>
      <c r="I14" s="68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</row>
    <row r="15" customFormat="false" ht="15" hidden="false" customHeight="false" outlineLevel="0" collapsed="false">
      <c r="A15" s="95" t="s">
        <v>343</v>
      </c>
      <c r="B15" s="95" t="s">
        <v>298</v>
      </c>
      <c r="C15" s="79" t="s">
        <v>299</v>
      </c>
      <c r="D15" s="96" t="n">
        <v>25</v>
      </c>
      <c r="E15" s="96" t="n">
        <v>84000</v>
      </c>
      <c r="F15" s="97" t="n">
        <v>0.91</v>
      </c>
      <c r="G15" s="97" t="n">
        <v>0.9</v>
      </c>
      <c r="H15" s="98" t="n">
        <v>0.024</v>
      </c>
      <c r="I15" s="68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</row>
    <row r="16" customFormat="false" ht="15" hidden="false" customHeight="false" outlineLevel="0" collapsed="false">
      <c r="A16" s="95" t="s">
        <v>344</v>
      </c>
      <c r="B16" s="95" t="s">
        <v>300</v>
      </c>
      <c r="C16" s="79" t="s">
        <v>301</v>
      </c>
      <c r="D16" s="96" t="n">
        <v>70</v>
      </c>
      <c r="E16" s="96" t="n">
        <v>33000</v>
      </c>
      <c r="F16" s="97" t="n">
        <v>0.9</v>
      </c>
      <c r="G16" s="97" t="n">
        <v>0.85</v>
      </c>
      <c r="H16" s="98" t="n">
        <v>0.03</v>
      </c>
      <c r="I16" s="68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</row>
    <row r="17" customFormat="false" ht="15" hidden="false" customHeight="false" outlineLevel="0" collapsed="false">
      <c r="A17" s="95" t="s">
        <v>345</v>
      </c>
      <c r="B17" s="95" t="s">
        <v>292</v>
      </c>
      <c r="C17" s="95" t="s">
        <v>293</v>
      </c>
      <c r="D17" s="96" t="n">
        <v>20</v>
      </c>
      <c r="E17" s="96" t="n">
        <v>98000</v>
      </c>
      <c r="F17" s="97" t="n">
        <v>0.9</v>
      </c>
      <c r="G17" s="97" t="n">
        <v>0.88</v>
      </c>
      <c r="H17" s="98" t="n">
        <v>0.027</v>
      </c>
      <c r="I17" s="68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</row>
    <row r="18" customFormat="false" ht="15" hidden="false" customHeight="false" outlineLevel="0" collapsed="false">
      <c r="A18" s="95" t="s">
        <v>346</v>
      </c>
      <c r="B18" s="95" t="s">
        <v>294</v>
      </c>
      <c r="C18" s="95" t="s">
        <v>295</v>
      </c>
      <c r="D18" s="96" t="n">
        <v>15</v>
      </c>
      <c r="E18" s="96" t="n">
        <v>140000</v>
      </c>
      <c r="F18" s="97" t="n">
        <v>0.86</v>
      </c>
      <c r="G18" s="97" t="n">
        <v>0.9</v>
      </c>
      <c r="H18" s="99" t="n">
        <v>0.025</v>
      </c>
      <c r="I18" s="68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</row>
    <row r="19" customFormat="false" ht="15" hidden="false" customHeight="false" outlineLevel="0" collapsed="false">
      <c r="A19" s="95" t="s">
        <v>347</v>
      </c>
      <c r="B19" s="95" t="s">
        <v>296</v>
      </c>
      <c r="C19" s="95" t="s">
        <v>297</v>
      </c>
      <c r="D19" s="96" t="n">
        <v>30</v>
      </c>
      <c r="E19" s="96" t="n">
        <v>60000</v>
      </c>
      <c r="F19" s="97" t="n">
        <v>0.85</v>
      </c>
      <c r="G19" s="97" t="n">
        <v>0.86</v>
      </c>
      <c r="H19" s="99" t="n">
        <v>0.025</v>
      </c>
      <c r="I19" s="68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</row>
    <row r="20" customFormat="false" ht="15" hidden="false" customHeight="false" outlineLevel="0" collapsed="false">
      <c r="A20" s="95" t="s">
        <v>348</v>
      </c>
      <c r="B20" s="95"/>
      <c r="C20" s="95"/>
      <c r="D20" s="95"/>
      <c r="E20" s="95"/>
      <c r="F20" s="95"/>
      <c r="G20" s="95"/>
      <c r="H20" s="95"/>
      <c r="I20" s="68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</row>
    <row r="21" customFormat="false" ht="15" hidden="false" customHeight="false" outlineLevel="0" collapsed="false">
      <c r="A21" s="85"/>
      <c r="B21" s="85"/>
      <c r="C21" s="85"/>
      <c r="D21" s="85"/>
      <c r="E21" s="85"/>
      <c r="F21" s="85"/>
      <c r="G21" s="85"/>
      <c r="H21" s="85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</row>
    <row r="22" customFormat="false" ht="15" hidden="false" customHeight="false" outlineLevel="0" collapsed="false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</row>
    <row r="23" customFormat="false" ht="15" hidden="false" customHeight="false" outlineLevel="0" collapsed="false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</row>
    <row r="24" customFormat="false" ht="15" hidden="false" customHeight="false" outlineLevel="0" collapsed="false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</row>
    <row r="25" customFormat="false" ht="15" hidden="false" customHeight="false" outlineLevel="0" collapsed="false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</row>
    <row r="26" customFormat="false" ht="15" hidden="false" customHeight="false" outlineLevel="0" collapsed="false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</row>
    <row r="27" customFormat="false" ht="15" hidden="false" customHeight="false" outlineLevel="0" collapsed="false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</row>
    <row r="28" customFormat="false" ht="15" hidden="false" customHeight="false" outlineLevel="0" collapsed="false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</row>
    <row r="29" customFormat="false" ht="15" hidden="false" customHeight="false" outlineLevel="0" collapsed="false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</row>
    <row r="30" customFormat="false" ht="15" hidden="false" customHeight="false" outlineLevel="0" collapsed="false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</row>
    <row r="31" customFormat="false" ht="15" hidden="false" customHeight="false" outlineLevel="0" collapsed="false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</row>
    <row r="32" customFormat="false" ht="15" hidden="false" customHeight="false" outlineLevel="0" collapsed="false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</row>
    <row r="33" customFormat="false" ht="15" hidden="false" customHeight="false" outlineLevel="0" collapsed="false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</row>
    <row r="34" customFormat="false" ht="15" hidden="false" customHeight="false" outlineLevel="0" collapsed="false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</row>
    <row r="35" customFormat="false" ht="15" hidden="false" customHeight="false" outlineLevel="0" collapsed="false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</row>
    <row r="36" customFormat="false" ht="15" hidden="false" customHeight="false" outlineLevel="0" collapsed="false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</row>
    <row r="37" customFormat="false" ht="15" hidden="false" customHeight="false" outlineLevel="0" collapsed="false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</row>
    <row r="38" customFormat="false" ht="15" hidden="false" customHeight="false" outlineLevel="0" collapsed="false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</row>
    <row r="39" customFormat="false" ht="15" hidden="false" customHeight="false" outlineLevel="0" collapsed="false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</row>
    <row r="40" customFormat="false" ht="15" hidden="false" customHeight="false" outlineLevel="0" collapsed="false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customFormat="false" ht="15" hidden="false" customHeight="false" outlineLevel="0" collapsed="false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</row>
    <row r="42" customFormat="false" ht="15" hidden="false" customHeight="false" outlineLevel="0" collapsed="false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</row>
    <row r="43" customFormat="false" ht="15" hidden="false" customHeight="false" outlineLevel="0" collapsed="false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</row>
    <row r="44" customFormat="false" ht="15" hidden="false" customHeight="false" outlineLevel="0" collapsed="false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</row>
    <row r="45" customFormat="false" ht="15" hidden="false" customHeight="false" outlineLevel="0" collapsed="false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</row>
    <row r="46" customFormat="false" ht="15" hidden="false" customHeight="false" outlineLevel="0" collapsed="false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</row>
    <row r="47" customFormat="false" ht="15" hidden="false" customHeight="false" outlineLevel="0" collapsed="false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</row>
    <row r="48" customFormat="false" ht="15" hidden="false" customHeight="false" outlineLevel="0" collapsed="false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</row>
    <row r="49" customFormat="false" ht="15" hidden="false" customHeight="false" outlineLevel="0" collapsed="false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</row>
    <row r="50" customFormat="false" ht="15" hidden="false" customHeight="false" outlineLevel="0" collapsed="false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</row>
    <row r="51" customFormat="false" ht="15" hidden="false" customHeight="false" outlineLevel="0" collapsed="false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</row>
    <row r="52" customFormat="false" ht="15" hidden="false" customHeight="false" outlineLevel="0" collapsed="false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</row>
    <row r="53" customFormat="false" ht="15" hidden="false" customHeight="false" outlineLevel="0" collapsed="false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</row>
    <row r="54" customFormat="false" ht="15" hidden="false" customHeight="false" outlineLevel="0" collapsed="false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customFormat="false" ht="15" hidden="false" customHeight="false" outlineLevel="0" collapsed="false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</row>
    <row r="56" customFormat="false" ht="15" hidden="false" customHeight="false" outlineLevel="0" collapsed="false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</row>
    <row r="57" customFormat="false" ht="15" hidden="false" customHeight="false" outlineLevel="0" collapsed="false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</row>
    <row r="58" customFormat="false" ht="15" hidden="false" customHeight="false" outlineLevel="0" collapsed="false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</row>
    <row r="59" customFormat="false" ht="15" hidden="false" customHeight="false" outlineLevel="0" collapsed="false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</row>
    <row r="60" customFormat="false" ht="15" hidden="false" customHeight="false" outlineLevel="0" collapsed="false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</row>
    <row r="61" customFormat="false" ht="15" hidden="false" customHeight="false" outlineLevel="0" collapsed="false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</row>
    <row r="62" customFormat="false" ht="15" hidden="false" customHeight="false" outlineLevel="0" collapsed="false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</row>
    <row r="63" customFormat="false" ht="15" hidden="false" customHeight="false" outlineLevel="0" collapsed="false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</row>
    <row r="64" customFormat="false" ht="15" hidden="false" customHeight="false" outlineLevel="0" collapsed="false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</row>
    <row r="65" customFormat="false" ht="15" hidden="false" customHeight="false" outlineLevel="0" collapsed="false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</row>
    <row r="66" customFormat="false" ht="15" hidden="false" customHeight="false" outlineLevel="0" collapsed="false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</row>
    <row r="67" customFormat="false" ht="15" hidden="false" customHeight="false" outlineLevel="0" collapsed="false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</row>
    <row r="68" customFormat="false" ht="15" hidden="false" customHeight="false" outlineLevel="0" collapsed="false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</row>
    <row r="69" customFormat="false" ht="15" hidden="false" customHeight="false" outlineLevel="0" collapsed="false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</row>
    <row r="70" customFormat="false" ht="15" hidden="false" customHeight="false" outlineLevel="0" collapsed="false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</row>
    <row r="71" customFormat="false" ht="15" hidden="false" customHeight="false" outlineLevel="0" collapsed="false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</row>
    <row r="72" customFormat="false" ht="15" hidden="false" customHeight="false" outlineLevel="0" collapsed="false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</row>
    <row r="73" customFormat="false" ht="15" hidden="false" customHeight="false" outlineLevel="0" collapsed="false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</row>
    <row r="74" customFormat="false" ht="15" hidden="false" customHeight="false" outlineLevel="0" collapsed="false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</row>
    <row r="75" customFormat="false" ht="15" hidden="false" customHeight="false" outlineLevel="0" collapsed="false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</row>
    <row r="76" customFormat="false" ht="15" hidden="false" customHeight="false" outlineLevel="0" collapsed="false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</row>
    <row r="77" customFormat="false" ht="15" hidden="false" customHeight="false" outlineLevel="0" collapsed="false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</row>
    <row r="78" customFormat="false" ht="15" hidden="false" customHeight="false" outlineLevel="0" collapsed="false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</row>
    <row r="79" customFormat="false" ht="15" hidden="false" customHeight="false" outlineLevel="0" collapsed="false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</row>
    <row r="80" customFormat="false" ht="15" hidden="false" customHeight="false" outlineLevel="0" collapsed="false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</row>
    <row r="81" customFormat="false" ht="15" hidden="false" customHeight="false" outlineLevel="0" collapsed="false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</row>
    <row r="82" customFormat="false" ht="15" hidden="false" customHeight="false" outlineLevel="0" collapsed="false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</row>
    <row r="83" customFormat="false" ht="15" hidden="false" customHeight="false" outlineLevel="0" collapsed="false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</row>
    <row r="84" customFormat="false" ht="15" hidden="false" customHeight="false" outlineLevel="0" collapsed="false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</row>
    <row r="85" customFormat="false" ht="15" hidden="false" customHeight="false" outlineLevel="0" collapsed="false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</row>
    <row r="86" customFormat="false" ht="15" hidden="false" customHeight="false" outlineLevel="0" collapsed="false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</row>
    <row r="87" customFormat="false" ht="15" hidden="false" customHeight="false" outlineLevel="0" collapsed="false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</row>
    <row r="88" customFormat="false" ht="15" hidden="false" customHeight="false" outlineLevel="0" collapsed="false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</row>
    <row r="89" customFormat="false" ht="15" hidden="false" customHeight="false" outlineLevel="0" collapsed="false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</row>
    <row r="90" customFormat="false" ht="15" hidden="false" customHeight="false" outlineLevel="0" collapsed="false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</row>
    <row r="91" customFormat="false" ht="15" hidden="false" customHeight="false" outlineLevel="0" collapsed="false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</row>
    <row r="92" customFormat="false" ht="15" hidden="false" customHeight="false" outlineLevel="0" collapsed="false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</row>
    <row r="93" customFormat="false" ht="15" hidden="false" customHeight="false" outlineLevel="0" collapsed="false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</row>
    <row r="94" customFormat="false" ht="15" hidden="false" customHeight="false" outlineLevel="0" collapsed="false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</row>
    <row r="95" customFormat="false" ht="15" hidden="false" customHeight="false" outlineLevel="0" collapsed="false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</row>
    <row r="96" customFormat="false" ht="15" hidden="false" customHeight="false" outlineLevel="0" collapsed="false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</row>
    <row r="97" customFormat="false" ht="15" hidden="false" customHeight="false" outlineLevel="0" collapsed="false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</row>
    <row r="98" customFormat="false" ht="15" hidden="false" customHeight="false" outlineLevel="0" collapsed="false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</row>
    <row r="99" customFormat="false" ht="15" hidden="false" customHeight="false" outlineLevel="0" collapsed="false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</row>
    <row r="100" customFormat="false" ht="15" hidden="false" customHeight="false" outlineLevel="0" collapsed="false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</row>
    <row r="101" customFormat="false" ht="15" hidden="false" customHeight="false" outlineLevel="0" collapsed="false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</row>
    <row r="102" customFormat="false" ht="15" hidden="false" customHeight="false" outlineLevel="0" collapsed="false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</row>
    <row r="103" customFormat="false" ht="15" hidden="false" customHeight="false" outlineLevel="0" collapsed="false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</row>
    <row r="104" customFormat="false" ht="15" hidden="false" customHeight="false" outlineLevel="0" collapsed="false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</row>
    <row r="105" customFormat="false" ht="15" hidden="false" customHeight="false" outlineLevel="0" collapsed="false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</row>
    <row r="106" customFormat="false" ht="15" hidden="false" customHeight="false" outlineLevel="0" collapsed="false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</row>
    <row r="107" customFormat="false" ht="15" hidden="false" customHeight="false" outlineLevel="0" collapsed="false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</row>
    <row r="108" customFormat="false" ht="15" hidden="false" customHeight="false" outlineLevel="0" collapsed="false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</row>
    <row r="109" customFormat="false" ht="15" hidden="false" customHeight="false" outlineLevel="0" collapsed="false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</row>
    <row r="110" customFormat="false" ht="15" hidden="false" customHeight="false" outlineLevel="0" collapsed="false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</row>
    <row r="111" customFormat="false" ht="15" hidden="false" customHeight="false" outlineLevel="0" collapsed="false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</row>
    <row r="112" customFormat="false" ht="15" hidden="false" customHeight="false" outlineLevel="0" collapsed="false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</row>
    <row r="113" customFormat="false" ht="15" hidden="false" customHeight="false" outlineLevel="0" collapsed="false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</row>
    <row r="114" customFormat="false" ht="15" hidden="false" customHeight="false" outlineLevel="0" collapsed="false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</row>
    <row r="115" customFormat="false" ht="15" hidden="false" customHeight="false" outlineLevel="0" collapsed="false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</row>
    <row r="116" customFormat="false" ht="15" hidden="false" customHeight="false" outlineLevel="0" collapsed="false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</row>
    <row r="117" customFormat="false" ht="15" hidden="false" customHeight="false" outlineLevel="0" collapsed="false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</row>
    <row r="118" customFormat="false" ht="15" hidden="false" customHeight="false" outlineLevel="0" collapsed="false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</row>
    <row r="119" customFormat="false" ht="15" hidden="false" customHeight="false" outlineLevel="0" collapsed="false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</row>
    <row r="120" customFormat="false" ht="15" hidden="false" customHeight="false" outlineLevel="0" collapsed="false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</row>
    <row r="121" customFormat="false" ht="15" hidden="false" customHeight="false" outlineLevel="0" collapsed="false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</row>
    <row r="122" customFormat="false" ht="15" hidden="false" customHeight="false" outlineLevel="0" collapsed="false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</row>
    <row r="123" customFormat="false" ht="15" hidden="false" customHeight="false" outlineLevel="0" collapsed="false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</row>
    <row r="124" customFormat="false" ht="15" hidden="false" customHeight="false" outlineLevel="0" collapsed="false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</row>
    <row r="125" customFormat="false" ht="15" hidden="false" customHeight="false" outlineLevel="0" collapsed="false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</row>
    <row r="126" customFormat="false" ht="15" hidden="false" customHeight="false" outlineLevel="0" collapsed="false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</row>
    <row r="127" customFormat="false" ht="15" hidden="false" customHeight="false" outlineLevel="0" collapsed="false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</row>
    <row r="128" customFormat="false" ht="15" hidden="false" customHeight="false" outlineLevel="0" collapsed="false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</row>
    <row r="129" customFormat="false" ht="15" hidden="false" customHeight="false" outlineLevel="0" collapsed="false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</row>
    <row r="130" customFormat="false" ht="15" hidden="false" customHeight="false" outlineLevel="0" collapsed="false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</row>
    <row r="131" customFormat="false" ht="15" hidden="false" customHeight="false" outlineLevel="0" collapsed="false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</row>
    <row r="132" customFormat="false" ht="15" hidden="false" customHeight="false" outlineLevel="0" collapsed="false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</row>
    <row r="133" customFormat="false" ht="15" hidden="false" customHeight="false" outlineLevel="0" collapsed="false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</row>
    <row r="134" customFormat="false" ht="15" hidden="false" customHeight="false" outlineLevel="0" collapsed="false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</row>
    <row r="135" customFormat="false" ht="15" hidden="false" customHeight="false" outlineLevel="0" collapsed="false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</row>
    <row r="136" customFormat="false" ht="15" hidden="false" customHeight="false" outlineLevel="0" collapsed="false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</row>
    <row r="137" customFormat="false" ht="15" hidden="false" customHeight="false" outlineLevel="0" collapsed="false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</row>
    <row r="138" customFormat="false" ht="15" hidden="false" customHeight="false" outlineLevel="0" collapsed="false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</row>
    <row r="139" customFormat="false" ht="15" hidden="false" customHeight="false" outlineLevel="0" collapsed="false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</row>
    <row r="140" customFormat="false" ht="15" hidden="false" customHeight="false" outlineLevel="0" collapsed="false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</row>
    <row r="141" customFormat="false" ht="15" hidden="false" customHeight="false" outlineLevel="0" collapsed="false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</row>
    <row r="142" customFormat="false" ht="15" hidden="false" customHeight="false" outlineLevel="0" collapsed="false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</row>
    <row r="143" customFormat="false" ht="15" hidden="false" customHeight="false" outlineLevel="0" collapsed="false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</row>
    <row r="144" customFormat="false" ht="15" hidden="false" customHeight="false" outlineLevel="0" collapsed="false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</row>
    <row r="145" customFormat="false" ht="15" hidden="false" customHeight="false" outlineLevel="0" collapsed="false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</row>
    <row r="146" customFormat="false" ht="15" hidden="false" customHeight="false" outlineLevel="0" collapsed="false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</row>
    <row r="147" customFormat="false" ht="15" hidden="false" customHeight="false" outlineLevel="0" collapsed="false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</row>
    <row r="148" customFormat="false" ht="15" hidden="false" customHeight="false" outlineLevel="0" collapsed="false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</row>
    <row r="149" customFormat="false" ht="15" hidden="false" customHeight="false" outlineLevel="0" collapsed="false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</row>
    <row r="150" customFormat="false" ht="15" hidden="false" customHeight="false" outlineLevel="0" collapsed="false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</row>
    <row r="151" customFormat="false" ht="15" hidden="false" customHeight="false" outlineLevel="0" collapsed="false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</row>
    <row r="152" customFormat="false" ht="15" hidden="false" customHeight="false" outlineLevel="0" collapsed="false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</row>
    <row r="153" customFormat="false" ht="15" hidden="false" customHeight="false" outlineLevel="0" collapsed="false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</row>
    <row r="154" customFormat="false" ht="15" hidden="false" customHeight="false" outlineLevel="0" collapsed="false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</row>
    <row r="155" customFormat="false" ht="15" hidden="false" customHeight="false" outlineLevel="0" collapsed="false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</row>
    <row r="156" customFormat="false" ht="15" hidden="false" customHeight="false" outlineLevel="0" collapsed="false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</row>
    <row r="157" customFormat="false" ht="15" hidden="false" customHeight="false" outlineLevel="0" collapsed="false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</row>
    <row r="158" customFormat="false" ht="15" hidden="false" customHeight="false" outlineLevel="0" collapsed="false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</row>
    <row r="159" customFormat="false" ht="15" hidden="false" customHeight="false" outlineLevel="0" collapsed="false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</row>
    <row r="160" customFormat="false" ht="15" hidden="false" customHeight="false" outlineLevel="0" collapsed="false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</row>
    <row r="161" customFormat="false" ht="15" hidden="false" customHeight="false" outlineLevel="0" collapsed="false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</row>
    <row r="162" customFormat="false" ht="15" hidden="false" customHeight="false" outlineLevel="0" collapsed="false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</row>
    <row r="163" customFormat="false" ht="15" hidden="false" customHeight="false" outlineLevel="0" collapsed="false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</row>
    <row r="164" customFormat="false" ht="15" hidden="false" customHeight="false" outlineLevel="0" collapsed="false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</row>
    <row r="165" customFormat="false" ht="15" hidden="false" customHeight="false" outlineLevel="0" collapsed="false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</row>
    <row r="166" customFormat="false" ht="15" hidden="false" customHeight="false" outlineLevel="0" collapsed="false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</row>
    <row r="167" customFormat="false" ht="15" hidden="false" customHeight="false" outlineLevel="0" collapsed="false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</row>
    <row r="168" customFormat="false" ht="15" hidden="false" customHeight="false" outlineLevel="0" collapsed="false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</row>
    <row r="169" customFormat="false" ht="15" hidden="false" customHeight="false" outlineLevel="0" collapsed="false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</row>
    <row r="170" customFormat="false" ht="15" hidden="false" customHeight="false" outlineLevel="0" collapsed="false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</row>
    <row r="171" customFormat="false" ht="15" hidden="false" customHeight="false" outlineLevel="0" collapsed="false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</row>
    <row r="172" customFormat="false" ht="15" hidden="false" customHeight="false" outlineLevel="0" collapsed="false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</row>
    <row r="173" customFormat="false" ht="15" hidden="false" customHeight="false" outlineLevel="0" collapsed="false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</row>
    <row r="174" customFormat="false" ht="15" hidden="false" customHeight="false" outlineLevel="0" collapsed="false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</row>
    <row r="175" customFormat="false" ht="15" hidden="false" customHeight="false" outlineLevel="0" collapsed="false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</row>
    <row r="176" customFormat="false" ht="15" hidden="false" customHeight="false" outlineLevel="0" collapsed="false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</row>
    <row r="177" customFormat="false" ht="15" hidden="false" customHeight="false" outlineLevel="0" collapsed="false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</row>
    <row r="178" customFormat="false" ht="15" hidden="false" customHeight="false" outlineLevel="0" collapsed="false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</row>
    <row r="179" customFormat="false" ht="15" hidden="false" customHeight="false" outlineLevel="0" collapsed="false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</row>
    <row r="180" customFormat="false" ht="15" hidden="false" customHeight="false" outlineLevel="0" collapsed="false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</row>
    <row r="181" customFormat="false" ht="15" hidden="false" customHeight="false" outlineLevel="0" collapsed="false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</row>
    <row r="182" customFormat="false" ht="15" hidden="false" customHeight="false" outlineLevel="0" collapsed="false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</row>
    <row r="183" customFormat="false" ht="15" hidden="false" customHeight="false" outlineLevel="0" collapsed="false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</row>
    <row r="184" customFormat="false" ht="15" hidden="false" customHeight="false" outlineLevel="0" collapsed="false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</row>
    <row r="185" customFormat="false" ht="15" hidden="false" customHeight="false" outlineLevel="0" collapsed="false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</row>
    <row r="186" customFormat="false" ht="15" hidden="false" customHeight="false" outlineLevel="0" collapsed="false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</row>
    <row r="187" customFormat="false" ht="15" hidden="false" customHeight="false" outlineLevel="0" collapsed="false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</row>
    <row r="188" customFormat="false" ht="15" hidden="false" customHeight="false" outlineLevel="0" collapsed="false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</row>
    <row r="189" customFormat="false" ht="15" hidden="false" customHeight="false" outlineLevel="0" collapsed="false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</row>
    <row r="190" customFormat="false" ht="15" hidden="false" customHeight="false" outlineLevel="0" collapsed="false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</row>
    <row r="191" customFormat="false" ht="15" hidden="false" customHeight="false" outlineLevel="0" collapsed="false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</row>
    <row r="192" customFormat="false" ht="15" hidden="false" customHeight="false" outlineLevel="0" collapsed="false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</row>
    <row r="193" customFormat="false" ht="15" hidden="false" customHeight="false" outlineLevel="0" collapsed="false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</row>
    <row r="194" customFormat="false" ht="15" hidden="false" customHeight="false" outlineLevel="0" collapsed="false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</row>
    <row r="195" customFormat="false" ht="15" hidden="false" customHeight="false" outlineLevel="0" collapsed="false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</row>
    <row r="196" customFormat="false" ht="15" hidden="false" customHeight="false" outlineLevel="0" collapsed="false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</row>
    <row r="197" customFormat="false" ht="15" hidden="false" customHeight="false" outlineLevel="0" collapsed="false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</row>
    <row r="198" customFormat="false" ht="15" hidden="false" customHeight="false" outlineLevel="0" collapsed="false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</row>
    <row r="199" customFormat="false" ht="15" hidden="false" customHeight="false" outlineLevel="0" collapsed="false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</row>
    <row r="200" customFormat="false" ht="15" hidden="false" customHeight="false" outlineLevel="0" collapsed="false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</row>
    <row r="201" customFormat="false" ht="15" hidden="false" customHeight="false" outlineLevel="0" collapsed="false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</row>
    <row r="202" customFormat="false" ht="15" hidden="false" customHeight="false" outlineLevel="0" collapsed="false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</row>
    <row r="203" customFormat="false" ht="15" hidden="false" customHeight="false" outlineLevel="0" collapsed="false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</row>
    <row r="204" customFormat="false" ht="15" hidden="false" customHeight="false" outlineLevel="0" collapsed="false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</row>
    <row r="205" customFormat="false" ht="15" hidden="false" customHeight="false" outlineLevel="0" collapsed="false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</row>
    <row r="206" customFormat="false" ht="15" hidden="false" customHeight="false" outlineLevel="0" collapsed="false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</row>
    <row r="207" customFormat="false" ht="15" hidden="false" customHeight="false" outlineLevel="0" collapsed="false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</row>
    <row r="208" customFormat="false" ht="15" hidden="false" customHeight="false" outlineLevel="0" collapsed="false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</row>
    <row r="209" customFormat="false" ht="15" hidden="false" customHeight="false" outlineLevel="0" collapsed="false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</row>
    <row r="210" customFormat="false" ht="15" hidden="false" customHeight="false" outlineLevel="0" collapsed="false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</row>
    <row r="211" customFormat="false" ht="15" hidden="false" customHeight="false" outlineLevel="0" collapsed="false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</row>
    <row r="212" customFormat="false" ht="15" hidden="false" customHeight="false" outlineLevel="0" collapsed="false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</row>
    <row r="213" customFormat="false" ht="15" hidden="false" customHeight="false" outlineLevel="0" collapsed="false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</row>
    <row r="214" customFormat="false" ht="15" hidden="false" customHeight="false" outlineLevel="0" collapsed="false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</row>
    <row r="215" customFormat="false" ht="15" hidden="false" customHeight="false" outlineLevel="0" collapsed="false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</row>
    <row r="216" customFormat="false" ht="15" hidden="false" customHeight="false" outlineLevel="0" collapsed="false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</row>
    <row r="217" customFormat="false" ht="15" hidden="false" customHeight="false" outlineLevel="0" collapsed="false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</row>
    <row r="218" customFormat="false" ht="15" hidden="false" customHeight="false" outlineLevel="0" collapsed="false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</row>
    <row r="219" customFormat="false" ht="15" hidden="false" customHeight="false" outlineLevel="0" collapsed="false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</row>
    <row r="220" customFormat="false" ht="15" hidden="false" customHeight="false" outlineLevel="0" collapsed="false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</row>
    <row r="221" customFormat="false" ht="15" hidden="false" customHeight="false" outlineLevel="0" collapsed="false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</row>
    <row r="222" customFormat="false" ht="15" hidden="false" customHeight="false" outlineLevel="0" collapsed="false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</row>
    <row r="223" customFormat="false" ht="15" hidden="false" customHeight="false" outlineLevel="0" collapsed="false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</row>
    <row r="224" customFormat="false" ht="15" hidden="false" customHeight="false" outlineLevel="0" collapsed="false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</row>
    <row r="225" customFormat="false" ht="15" hidden="false" customHeight="false" outlineLevel="0" collapsed="false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</row>
    <row r="226" customFormat="false" ht="15" hidden="false" customHeight="false" outlineLevel="0" collapsed="false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</row>
    <row r="227" customFormat="false" ht="15" hidden="false" customHeight="false" outlineLevel="0" collapsed="false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</row>
    <row r="228" customFormat="false" ht="15" hidden="false" customHeight="false" outlineLevel="0" collapsed="false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</row>
    <row r="229" customFormat="false" ht="15" hidden="false" customHeight="false" outlineLevel="0" collapsed="false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</row>
    <row r="230" customFormat="false" ht="15" hidden="false" customHeight="false" outlineLevel="0" collapsed="false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</row>
    <row r="231" customFormat="false" ht="15" hidden="false" customHeight="false" outlineLevel="0" collapsed="false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</row>
    <row r="232" customFormat="false" ht="15" hidden="false" customHeight="false" outlineLevel="0" collapsed="false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</row>
    <row r="233" customFormat="false" ht="15" hidden="false" customHeight="false" outlineLevel="0" collapsed="false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</row>
    <row r="234" customFormat="false" ht="15" hidden="false" customHeight="false" outlineLevel="0" collapsed="false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</row>
    <row r="235" customFormat="false" ht="15" hidden="false" customHeight="false" outlineLevel="0" collapsed="false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</row>
    <row r="236" customFormat="false" ht="15" hidden="false" customHeight="false" outlineLevel="0" collapsed="false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</row>
    <row r="237" customFormat="false" ht="15" hidden="false" customHeight="false" outlineLevel="0" collapsed="false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</row>
    <row r="238" customFormat="false" ht="15" hidden="false" customHeight="false" outlineLevel="0" collapsed="false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</row>
    <row r="239" customFormat="false" ht="15" hidden="false" customHeight="false" outlineLevel="0" collapsed="false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</row>
    <row r="240" customFormat="false" ht="15" hidden="false" customHeight="false" outlineLevel="0" collapsed="false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</row>
    <row r="241" customFormat="false" ht="15" hidden="false" customHeight="false" outlineLevel="0" collapsed="false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</row>
    <row r="242" customFormat="false" ht="15" hidden="false" customHeight="false" outlineLevel="0" collapsed="false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</row>
    <row r="243" customFormat="false" ht="15" hidden="false" customHeight="false" outlineLevel="0" collapsed="false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</row>
    <row r="244" customFormat="false" ht="15" hidden="false" customHeight="false" outlineLevel="0" collapsed="false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</row>
    <row r="245" customFormat="false" ht="15" hidden="false" customHeight="false" outlineLevel="0" collapsed="false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</row>
    <row r="246" customFormat="false" ht="15" hidden="false" customHeight="false" outlineLevel="0" collapsed="false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</row>
    <row r="247" customFormat="false" ht="15" hidden="false" customHeight="false" outlineLevel="0" collapsed="false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</row>
    <row r="248" customFormat="false" ht="15" hidden="false" customHeight="false" outlineLevel="0" collapsed="false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</row>
    <row r="249" customFormat="false" ht="15" hidden="false" customHeight="false" outlineLevel="0" collapsed="false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</row>
    <row r="250" customFormat="false" ht="15" hidden="false" customHeight="false" outlineLevel="0" collapsed="false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</row>
    <row r="251" customFormat="false" ht="15" hidden="false" customHeight="false" outlineLevel="0" collapsed="false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</row>
    <row r="252" customFormat="false" ht="15" hidden="false" customHeight="false" outlineLevel="0" collapsed="false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</row>
    <row r="253" customFormat="false" ht="15" hidden="false" customHeight="false" outlineLevel="0" collapsed="false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</row>
    <row r="254" customFormat="false" ht="15" hidden="false" customHeight="false" outlineLevel="0" collapsed="false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</row>
    <row r="255" customFormat="false" ht="15" hidden="false" customHeight="false" outlineLevel="0" collapsed="false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</row>
    <row r="256" customFormat="false" ht="15" hidden="false" customHeight="false" outlineLevel="0" collapsed="false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</row>
    <row r="257" customFormat="false" ht="15" hidden="false" customHeight="false" outlineLevel="0" collapsed="false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</row>
    <row r="258" customFormat="false" ht="15" hidden="false" customHeight="false" outlineLevel="0" collapsed="false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</row>
    <row r="259" customFormat="false" ht="15" hidden="false" customHeight="false" outlineLevel="0" collapsed="false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</row>
    <row r="260" customFormat="false" ht="15" hidden="false" customHeight="false" outlineLevel="0" collapsed="false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</row>
    <row r="261" customFormat="false" ht="15" hidden="false" customHeight="false" outlineLevel="0" collapsed="false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</row>
    <row r="262" customFormat="false" ht="15" hidden="false" customHeight="false" outlineLevel="0" collapsed="false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</row>
    <row r="263" customFormat="false" ht="15" hidden="false" customHeight="false" outlineLevel="0" collapsed="false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</row>
    <row r="264" customFormat="false" ht="15" hidden="false" customHeight="false" outlineLevel="0" collapsed="false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</row>
    <row r="265" customFormat="false" ht="15" hidden="false" customHeight="false" outlineLevel="0" collapsed="false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</row>
    <row r="266" customFormat="false" ht="15" hidden="false" customHeight="false" outlineLevel="0" collapsed="false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</row>
    <row r="267" customFormat="false" ht="15" hidden="false" customHeight="false" outlineLevel="0" collapsed="false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</row>
    <row r="268" customFormat="false" ht="15" hidden="false" customHeight="false" outlineLevel="0" collapsed="false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</row>
    <row r="269" customFormat="false" ht="15" hidden="false" customHeight="false" outlineLevel="0" collapsed="false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</row>
    <row r="270" customFormat="false" ht="15" hidden="false" customHeight="false" outlineLevel="0" collapsed="false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</row>
    <row r="271" customFormat="false" ht="15" hidden="false" customHeight="false" outlineLevel="0" collapsed="false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</row>
    <row r="272" customFormat="false" ht="15" hidden="false" customHeight="false" outlineLevel="0" collapsed="false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</row>
    <row r="273" customFormat="false" ht="15" hidden="false" customHeight="false" outlineLevel="0" collapsed="false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</row>
    <row r="274" customFormat="false" ht="15" hidden="false" customHeight="false" outlineLevel="0" collapsed="false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</row>
    <row r="275" customFormat="false" ht="15" hidden="false" customHeight="false" outlineLevel="0" collapsed="false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</row>
    <row r="276" customFormat="false" ht="15" hidden="false" customHeight="false" outlineLevel="0" collapsed="false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</row>
    <row r="277" customFormat="false" ht="15" hidden="false" customHeight="false" outlineLevel="0" collapsed="false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</row>
    <row r="278" customFormat="false" ht="15" hidden="false" customHeight="false" outlineLevel="0" collapsed="false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</row>
    <row r="279" customFormat="false" ht="15" hidden="false" customHeight="false" outlineLevel="0" collapsed="false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</row>
    <row r="280" customFormat="false" ht="15" hidden="false" customHeight="false" outlineLevel="0" collapsed="false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</row>
    <row r="281" customFormat="false" ht="15" hidden="false" customHeight="false" outlineLevel="0" collapsed="false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</row>
    <row r="282" customFormat="false" ht="15" hidden="false" customHeight="false" outlineLevel="0" collapsed="false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</row>
    <row r="283" customFormat="false" ht="15" hidden="false" customHeight="false" outlineLevel="0" collapsed="false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</row>
    <row r="284" customFormat="false" ht="15" hidden="false" customHeight="false" outlineLevel="0" collapsed="false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</row>
    <row r="285" customFormat="false" ht="15" hidden="false" customHeight="false" outlineLevel="0" collapsed="false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</row>
    <row r="286" customFormat="false" ht="15" hidden="false" customHeight="false" outlineLevel="0" collapsed="false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</row>
    <row r="287" customFormat="false" ht="15" hidden="false" customHeight="false" outlineLevel="0" collapsed="false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</row>
    <row r="288" customFormat="false" ht="15" hidden="false" customHeight="false" outlineLevel="0" collapsed="false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</row>
    <row r="289" customFormat="false" ht="15" hidden="false" customHeight="false" outlineLevel="0" collapsed="false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</row>
    <row r="290" customFormat="false" ht="15" hidden="false" customHeight="false" outlineLevel="0" collapsed="false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</row>
    <row r="291" customFormat="false" ht="15" hidden="false" customHeight="false" outlineLevel="0" collapsed="false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</row>
    <row r="292" customFormat="false" ht="15" hidden="false" customHeight="false" outlineLevel="0" collapsed="false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</row>
    <row r="293" customFormat="false" ht="15" hidden="false" customHeight="false" outlineLevel="0" collapsed="false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</row>
    <row r="294" customFormat="false" ht="15" hidden="false" customHeight="false" outlineLevel="0" collapsed="false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</row>
    <row r="295" customFormat="false" ht="15" hidden="false" customHeight="false" outlineLevel="0" collapsed="false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</row>
    <row r="296" customFormat="false" ht="15" hidden="false" customHeight="false" outlineLevel="0" collapsed="false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</row>
    <row r="297" customFormat="false" ht="15" hidden="false" customHeight="false" outlineLevel="0" collapsed="false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</row>
    <row r="298" customFormat="false" ht="15" hidden="false" customHeight="false" outlineLevel="0" collapsed="false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</row>
    <row r="299" customFormat="false" ht="15" hidden="false" customHeight="false" outlineLevel="0" collapsed="false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</row>
    <row r="300" customFormat="false" ht="15" hidden="false" customHeight="false" outlineLevel="0" collapsed="false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</row>
    <row r="301" customFormat="false" ht="15" hidden="false" customHeight="false" outlineLevel="0" collapsed="false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</row>
    <row r="302" customFormat="false" ht="15" hidden="false" customHeight="false" outlineLevel="0" collapsed="false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</row>
    <row r="303" customFormat="false" ht="15" hidden="false" customHeight="false" outlineLevel="0" collapsed="false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</row>
    <row r="304" customFormat="false" ht="15" hidden="false" customHeight="false" outlineLevel="0" collapsed="false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</row>
    <row r="305" customFormat="false" ht="15" hidden="false" customHeight="false" outlineLevel="0" collapsed="false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</row>
    <row r="306" customFormat="false" ht="15" hidden="false" customHeight="false" outlineLevel="0" collapsed="false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</row>
    <row r="307" customFormat="false" ht="15" hidden="false" customHeight="false" outlineLevel="0" collapsed="false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</row>
    <row r="308" customFormat="false" ht="15" hidden="false" customHeight="false" outlineLevel="0" collapsed="false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</row>
    <row r="309" customFormat="false" ht="15" hidden="false" customHeight="false" outlineLevel="0" collapsed="false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</row>
    <row r="310" customFormat="false" ht="15" hidden="false" customHeight="false" outlineLevel="0" collapsed="false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</row>
    <row r="311" customFormat="false" ht="15" hidden="false" customHeight="false" outlineLevel="0" collapsed="false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</row>
    <row r="312" customFormat="false" ht="15" hidden="false" customHeight="false" outlineLevel="0" collapsed="false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</row>
    <row r="313" customFormat="false" ht="15" hidden="false" customHeight="false" outlineLevel="0" collapsed="false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</row>
    <row r="314" customFormat="false" ht="15" hidden="false" customHeight="false" outlineLevel="0" collapsed="false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</row>
    <row r="315" customFormat="false" ht="15" hidden="false" customHeight="false" outlineLevel="0" collapsed="false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</row>
    <row r="316" customFormat="false" ht="15" hidden="false" customHeight="false" outlineLevel="0" collapsed="false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</row>
    <row r="317" customFormat="false" ht="15" hidden="false" customHeight="false" outlineLevel="0" collapsed="false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</row>
    <row r="318" customFormat="false" ht="15" hidden="false" customHeight="false" outlineLevel="0" collapsed="false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</row>
    <row r="319" customFormat="false" ht="15" hidden="false" customHeight="false" outlineLevel="0" collapsed="false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</row>
    <row r="320" customFormat="false" ht="15" hidden="false" customHeight="false" outlineLevel="0" collapsed="false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</row>
    <row r="321" customFormat="false" ht="15" hidden="false" customHeight="false" outlineLevel="0" collapsed="false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</row>
    <row r="322" customFormat="false" ht="15" hidden="false" customHeight="false" outlineLevel="0" collapsed="false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</row>
    <row r="323" customFormat="false" ht="15" hidden="false" customHeight="false" outlineLevel="0" collapsed="false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</row>
    <row r="324" customFormat="false" ht="15" hidden="false" customHeight="false" outlineLevel="0" collapsed="false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</row>
    <row r="325" customFormat="false" ht="15" hidden="false" customHeight="false" outlineLevel="0" collapsed="false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</row>
    <row r="326" customFormat="false" ht="15" hidden="false" customHeight="false" outlineLevel="0" collapsed="false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</row>
    <row r="327" customFormat="false" ht="15" hidden="false" customHeight="false" outlineLevel="0" collapsed="false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</row>
    <row r="328" customFormat="false" ht="15" hidden="false" customHeight="false" outlineLevel="0" collapsed="false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</row>
    <row r="329" customFormat="false" ht="15" hidden="false" customHeight="false" outlineLevel="0" collapsed="false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</row>
    <row r="330" customFormat="false" ht="15" hidden="false" customHeight="false" outlineLevel="0" collapsed="false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</row>
    <row r="331" customFormat="false" ht="15" hidden="false" customHeight="false" outlineLevel="0" collapsed="false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</row>
    <row r="332" customFormat="false" ht="15" hidden="false" customHeight="false" outlineLevel="0" collapsed="false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</row>
    <row r="333" customFormat="false" ht="15" hidden="false" customHeight="false" outlineLevel="0" collapsed="false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</row>
    <row r="334" customFormat="false" ht="15" hidden="false" customHeight="false" outlineLevel="0" collapsed="false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</row>
    <row r="335" customFormat="false" ht="15" hidden="false" customHeight="false" outlineLevel="0" collapsed="false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</row>
    <row r="336" customFormat="false" ht="15" hidden="false" customHeight="false" outlineLevel="0" collapsed="false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</row>
    <row r="337" customFormat="false" ht="15" hidden="false" customHeight="false" outlineLevel="0" collapsed="false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</row>
    <row r="338" customFormat="false" ht="15" hidden="false" customHeight="false" outlineLevel="0" collapsed="false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</row>
    <row r="339" customFormat="false" ht="15" hidden="false" customHeight="false" outlineLevel="0" collapsed="false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</row>
    <row r="340" customFormat="false" ht="15" hidden="false" customHeight="false" outlineLevel="0" collapsed="false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</row>
    <row r="341" customFormat="false" ht="15" hidden="false" customHeight="false" outlineLevel="0" collapsed="false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</row>
    <row r="342" customFormat="false" ht="15" hidden="false" customHeight="false" outlineLevel="0" collapsed="false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</row>
    <row r="343" customFormat="false" ht="15" hidden="false" customHeight="false" outlineLevel="0" collapsed="false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</row>
    <row r="344" customFormat="false" ht="15" hidden="false" customHeight="false" outlineLevel="0" collapsed="false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</row>
    <row r="345" customFormat="false" ht="15" hidden="false" customHeight="false" outlineLevel="0" collapsed="false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</row>
    <row r="346" customFormat="false" ht="15" hidden="false" customHeight="false" outlineLevel="0" collapsed="false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</row>
    <row r="347" customFormat="false" ht="15" hidden="false" customHeight="false" outlineLevel="0" collapsed="false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</row>
    <row r="348" customFormat="false" ht="15" hidden="false" customHeight="false" outlineLevel="0" collapsed="false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</row>
    <row r="349" customFormat="false" ht="15" hidden="false" customHeight="false" outlineLevel="0" collapsed="false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</row>
    <row r="350" customFormat="false" ht="15" hidden="false" customHeight="false" outlineLevel="0" collapsed="false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</row>
    <row r="351" customFormat="false" ht="15" hidden="false" customHeight="false" outlineLevel="0" collapsed="false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</row>
    <row r="352" customFormat="false" ht="15" hidden="false" customHeight="false" outlineLevel="0" collapsed="false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</row>
    <row r="353" customFormat="false" ht="15" hidden="false" customHeight="false" outlineLevel="0" collapsed="false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</row>
    <row r="354" customFormat="false" ht="15" hidden="false" customHeight="false" outlineLevel="0" collapsed="false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</row>
    <row r="355" customFormat="false" ht="15" hidden="false" customHeight="false" outlineLevel="0" collapsed="false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</row>
    <row r="356" customFormat="false" ht="15" hidden="false" customHeight="false" outlineLevel="0" collapsed="false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</row>
    <row r="357" customFormat="false" ht="15" hidden="false" customHeight="false" outlineLevel="0" collapsed="false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</row>
    <row r="358" customFormat="false" ht="15" hidden="false" customHeight="false" outlineLevel="0" collapsed="false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</row>
    <row r="359" customFormat="false" ht="15" hidden="false" customHeight="false" outlineLevel="0" collapsed="false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</row>
    <row r="360" customFormat="false" ht="15" hidden="false" customHeight="false" outlineLevel="0" collapsed="false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</row>
    <row r="361" customFormat="false" ht="15" hidden="false" customHeight="false" outlineLevel="0" collapsed="false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</row>
    <row r="362" customFormat="false" ht="15" hidden="false" customHeight="false" outlineLevel="0" collapsed="false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</row>
    <row r="363" customFormat="false" ht="15" hidden="false" customHeight="false" outlineLevel="0" collapsed="false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</row>
    <row r="364" customFormat="false" ht="15" hidden="false" customHeight="false" outlineLevel="0" collapsed="false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</row>
    <row r="365" customFormat="false" ht="15" hidden="false" customHeight="false" outlineLevel="0" collapsed="false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</row>
    <row r="366" customFormat="false" ht="15" hidden="false" customHeight="false" outlineLevel="0" collapsed="false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</row>
    <row r="367" customFormat="false" ht="15" hidden="false" customHeight="false" outlineLevel="0" collapsed="false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</row>
    <row r="368" customFormat="false" ht="15" hidden="false" customHeight="false" outlineLevel="0" collapsed="false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</row>
    <row r="369" customFormat="false" ht="15" hidden="false" customHeight="false" outlineLevel="0" collapsed="false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</row>
    <row r="370" customFormat="false" ht="15" hidden="false" customHeight="false" outlineLevel="0" collapsed="false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</row>
    <row r="371" customFormat="false" ht="15" hidden="false" customHeight="false" outlineLevel="0" collapsed="false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</row>
    <row r="372" customFormat="false" ht="15" hidden="false" customHeight="false" outlineLevel="0" collapsed="false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</row>
    <row r="373" customFormat="false" ht="15" hidden="false" customHeight="false" outlineLevel="0" collapsed="false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</row>
    <row r="374" customFormat="false" ht="15" hidden="false" customHeight="false" outlineLevel="0" collapsed="false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</row>
    <row r="375" customFormat="false" ht="15" hidden="false" customHeight="false" outlineLevel="0" collapsed="false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</row>
    <row r="376" customFormat="false" ht="15" hidden="false" customHeight="false" outlineLevel="0" collapsed="false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</row>
    <row r="377" customFormat="false" ht="15" hidden="false" customHeight="false" outlineLevel="0" collapsed="false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</row>
    <row r="378" customFormat="false" ht="15" hidden="false" customHeight="false" outlineLevel="0" collapsed="false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</row>
    <row r="379" customFormat="false" ht="15" hidden="false" customHeight="false" outlineLevel="0" collapsed="false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</row>
    <row r="380" customFormat="false" ht="15" hidden="false" customHeight="false" outlineLevel="0" collapsed="false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</row>
    <row r="381" customFormat="false" ht="15" hidden="false" customHeight="false" outlineLevel="0" collapsed="false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</row>
    <row r="382" customFormat="false" ht="15" hidden="false" customHeight="false" outlineLevel="0" collapsed="false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</row>
    <row r="383" customFormat="false" ht="15" hidden="false" customHeight="false" outlineLevel="0" collapsed="false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</row>
    <row r="384" customFormat="false" ht="15" hidden="false" customHeight="false" outlineLevel="0" collapsed="false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</row>
    <row r="385" customFormat="false" ht="15" hidden="false" customHeight="false" outlineLevel="0" collapsed="false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</row>
    <row r="386" customFormat="false" ht="15" hidden="false" customHeight="false" outlineLevel="0" collapsed="false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</row>
    <row r="387" customFormat="false" ht="15" hidden="false" customHeight="false" outlineLevel="0" collapsed="false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</row>
    <row r="388" customFormat="false" ht="15" hidden="false" customHeight="false" outlineLevel="0" collapsed="false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</row>
    <row r="389" customFormat="false" ht="15" hidden="false" customHeight="false" outlineLevel="0" collapsed="false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</row>
    <row r="390" customFormat="false" ht="15" hidden="false" customHeight="false" outlineLevel="0" collapsed="false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</row>
    <row r="391" customFormat="false" ht="15" hidden="false" customHeight="false" outlineLevel="0" collapsed="false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</row>
    <row r="392" customFormat="false" ht="15" hidden="false" customHeight="false" outlineLevel="0" collapsed="false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</row>
    <row r="393" customFormat="false" ht="15" hidden="false" customHeight="false" outlineLevel="0" collapsed="false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</row>
    <row r="394" customFormat="false" ht="15" hidden="false" customHeight="false" outlineLevel="0" collapsed="false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</row>
    <row r="395" customFormat="false" ht="15" hidden="false" customHeight="false" outlineLevel="0" collapsed="false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</row>
    <row r="396" customFormat="false" ht="15" hidden="false" customHeight="false" outlineLevel="0" collapsed="false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</row>
    <row r="397" customFormat="false" ht="15" hidden="false" customHeight="false" outlineLevel="0" collapsed="false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</row>
    <row r="398" customFormat="false" ht="15" hidden="false" customHeight="false" outlineLevel="0" collapsed="false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</row>
    <row r="399" customFormat="false" ht="15" hidden="false" customHeight="false" outlineLevel="0" collapsed="false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</row>
    <row r="400" customFormat="false" ht="15" hidden="false" customHeight="false" outlineLevel="0" collapsed="false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</row>
    <row r="401" customFormat="false" ht="15" hidden="false" customHeight="false" outlineLevel="0" collapsed="false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</row>
    <row r="402" customFormat="false" ht="15" hidden="false" customHeight="false" outlineLevel="0" collapsed="false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</row>
    <row r="403" customFormat="false" ht="15" hidden="false" customHeight="false" outlineLevel="0" collapsed="false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</row>
    <row r="404" customFormat="false" ht="15" hidden="false" customHeight="false" outlineLevel="0" collapsed="false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</row>
    <row r="405" customFormat="false" ht="15" hidden="false" customHeight="false" outlineLevel="0" collapsed="false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</row>
    <row r="406" customFormat="false" ht="15" hidden="false" customHeight="false" outlineLevel="0" collapsed="false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</row>
    <row r="407" customFormat="false" ht="15" hidden="false" customHeight="false" outlineLevel="0" collapsed="false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</row>
    <row r="408" customFormat="false" ht="15" hidden="false" customHeight="false" outlineLevel="0" collapsed="false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</row>
    <row r="409" customFormat="false" ht="15" hidden="false" customHeight="false" outlineLevel="0" collapsed="false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</row>
    <row r="410" customFormat="false" ht="15" hidden="false" customHeight="false" outlineLevel="0" collapsed="false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</row>
    <row r="411" customFormat="false" ht="15" hidden="false" customHeight="false" outlineLevel="0" collapsed="false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</row>
    <row r="412" customFormat="false" ht="15" hidden="false" customHeight="false" outlineLevel="0" collapsed="false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</row>
    <row r="413" customFormat="false" ht="15" hidden="false" customHeight="false" outlineLevel="0" collapsed="false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</row>
    <row r="414" customFormat="false" ht="15" hidden="false" customHeight="false" outlineLevel="0" collapsed="false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</row>
    <row r="415" customFormat="false" ht="15" hidden="false" customHeight="false" outlineLevel="0" collapsed="false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</row>
    <row r="416" customFormat="false" ht="15" hidden="false" customHeight="false" outlineLevel="0" collapsed="false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</row>
    <row r="417" customFormat="false" ht="15" hidden="false" customHeight="false" outlineLevel="0" collapsed="false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</row>
    <row r="418" customFormat="false" ht="15" hidden="false" customHeight="false" outlineLevel="0" collapsed="false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</row>
    <row r="419" customFormat="false" ht="15" hidden="false" customHeight="false" outlineLevel="0" collapsed="false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</row>
    <row r="420" customFormat="false" ht="15" hidden="false" customHeight="false" outlineLevel="0" collapsed="false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</row>
    <row r="421" customFormat="false" ht="15" hidden="false" customHeight="false" outlineLevel="0" collapsed="false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</row>
    <row r="422" customFormat="false" ht="15" hidden="false" customHeight="false" outlineLevel="0" collapsed="false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</row>
    <row r="423" customFormat="false" ht="15" hidden="false" customHeight="false" outlineLevel="0" collapsed="false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</row>
    <row r="424" customFormat="false" ht="15" hidden="false" customHeight="false" outlineLevel="0" collapsed="false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</row>
    <row r="425" customFormat="false" ht="15" hidden="false" customHeight="false" outlineLevel="0" collapsed="false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</row>
    <row r="426" customFormat="false" ht="15" hidden="false" customHeight="false" outlineLevel="0" collapsed="false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</row>
    <row r="427" customFormat="false" ht="15" hidden="false" customHeight="false" outlineLevel="0" collapsed="false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</row>
    <row r="428" customFormat="false" ht="15" hidden="false" customHeight="false" outlineLevel="0" collapsed="false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</row>
    <row r="429" customFormat="false" ht="15" hidden="false" customHeight="false" outlineLevel="0" collapsed="false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</row>
    <row r="430" customFormat="false" ht="15" hidden="false" customHeight="false" outlineLevel="0" collapsed="false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</row>
    <row r="431" customFormat="false" ht="15" hidden="false" customHeight="false" outlineLevel="0" collapsed="false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</row>
    <row r="432" customFormat="false" ht="15" hidden="false" customHeight="false" outlineLevel="0" collapsed="false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</row>
    <row r="433" customFormat="false" ht="15" hidden="false" customHeight="false" outlineLevel="0" collapsed="false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</row>
    <row r="434" customFormat="false" ht="15" hidden="false" customHeight="false" outlineLevel="0" collapsed="false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</row>
    <row r="435" customFormat="false" ht="15" hidden="false" customHeight="false" outlineLevel="0" collapsed="false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</row>
    <row r="436" customFormat="false" ht="15" hidden="false" customHeight="false" outlineLevel="0" collapsed="false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</row>
    <row r="437" customFormat="false" ht="15" hidden="false" customHeight="false" outlineLevel="0" collapsed="false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</row>
    <row r="438" customFormat="false" ht="15" hidden="false" customHeight="false" outlineLevel="0" collapsed="false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</row>
    <row r="439" customFormat="false" ht="15" hidden="false" customHeight="false" outlineLevel="0" collapsed="false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</row>
    <row r="440" customFormat="false" ht="15" hidden="false" customHeight="false" outlineLevel="0" collapsed="false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</row>
    <row r="441" customFormat="false" ht="15" hidden="false" customHeight="false" outlineLevel="0" collapsed="false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</row>
    <row r="442" customFormat="false" ht="15" hidden="false" customHeight="false" outlineLevel="0" collapsed="false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</row>
    <row r="443" customFormat="false" ht="15" hidden="false" customHeight="false" outlineLevel="0" collapsed="false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</row>
    <row r="444" customFormat="false" ht="15" hidden="false" customHeight="false" outlineLevel="0" collapsed="false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</row>
    <row r="445" customFormat="false" ht="15" hidden="false" customHeight="false" outlineLevel="0" collapsed="false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</row>
    <row r="446" customFormat="false" ht="15" hidden="false" customHeight="false" outlineLevel="0" collapsed="false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</row>
    <row r="447" customFormat="false" ht="15" hidden="false" customHeight="false" outlineLevel="0" collapsed="false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</row>
    <row r="448" customFormat="false" ht="15" hidden="false" customHeight="false" outlineLevel="0" collapsed="false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</row>
    <row r="449" customFormat="false" ht="15" hidden="false" customHeight="false" outlineLevel="0" collapsed="false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</row>
    <row r="450" customFormat="false" ht="15" hidden="false" customHeight="false" outlineLevel="0" collapsed="false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</row>
    <row r="451" customFormat="false" ht="15" hidden="false" customHeight="false" outlineLevel="0" collapsed="false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</row>
    <row r="452" customFormat="false" ht="15" hidden="false" customHeight="false" outlineLevel="0" collapsed="false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</row>
    <row r="453" customFormat="false" ht="15" hidden="false" customHeight="false" outlineLevel="0" collapsed="false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</row>
    <row r="454" customFormat="false" ht="15" hidden="false" customHeight="false" outlineLevel="0" collapsed="false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</row>
    <row r="455" customFormat="false" ht="15" hidden="false" customHeight="false" outlineLevel="0" collapsed="false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</row>
    <row r="456" customFormat="false" ht="15" hidden="false" customHeight="false" outlineLevel="0" collapsed="false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</row>
    <row r="457" customFormat="false" ht="15" hidden="false" customHeight="false" outlineLevel="0" collapsed="false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</row>
    <row r="458" customFormat="false" ht="15" hidden="false" customHeight="false" outlineLevel="0" collapsed="false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</row>
    <row r="459" customFormat="false" ht="15" hidden="false" customHeight="false" outlineLevel="0" collapsed="false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</row>
    <row r="460" customFormat="false" ht="15" hidden="false" customHeight="false" outlineLevel="0" collapsed="false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</row>
    <row r="461" customFormat="false" ht="15" hidden="false" customHeight="false" outlineLevel="0" collapsed="false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</row>
    <row r="462" customFormat="false" ht="15" hidden="false" customHeight="false" outlineLevel="0" collapsed="false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</row>
    <row r="463" customFormat="false" ht="15" hidden="false" customHeight="false" outlineLevel="0" collapsed="false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</row>
    <row r="464" customFormat="false" ht="15" hidden="false" customHeight="false" outlineLevel="0" collapsed="false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</row>
    <row r="465" customFormat="false" ht="15" hidden="false" customHeight="false" outlineLevel="0" collapsed="false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</row>
    <row r="466" customFormat="false" ht="15" hidden="false" customHeight="false" outlineLevel="0" collapsed="false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</row>
    <row r="467" customFormat="false" ht="15" hidden="false" customHeight="false" outlineLevel="0" collapsed="false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</row>
    <row r="468" customFormat="false" ht="15" hidden="false" customHeight="false" outlineLevel="0" collapsed="false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</row>
    <row r="469" customFormat="false" ht="15" hidden="false" customHeight="false" outlineLevel="0" collapsed="false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</row>
    <row r="470" customFormat="false" ht="15" hidden="false" customHeight="false" outlineLevel="0" collapsed="false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</row>
    <row r="471" customFormat="false" ht="15" hidden="false" customHeight="false" outlineLevel="0" collapsed="false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</row>
    <row r="472" customFormat="false" ht="15" hidden="false" customHeight="false" outlineLevel="0" collapsed="false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</row>
    <row r="473" customFormat="false" ht="15" hidden="false" customHeight="false" outlineLevel="0" collapsed="false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</row>
    <row r="474" customFormat="false" ht="15" hidden="false" customHeight="false" outlineLevel="0" collapsed="false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</row>
    <row r="475" customFormat="false" ht="15" hidden="false" customHeight="false" outlineLevel="0" collapsed="false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</row>
    <row r="476" customFormat="false" ht="15" hidden="false" customHeight="false" outlineLevel="0" collapsed="false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</row>
    <row r="477" customFormat="false" ht="15" hidden="false" customHeight="false" outlineLevel="0" collapsed="false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</row>
    <row r="478" customFormat="false" ht="15" hidden="false" customHeight="false" outlineLevel="0" collapsed="false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</row>
    <row r="479" customFormat="false" ht="15" hidden="false" customHeight="false" outlineLevel="0" collapsed="false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</row>
    <row r="480" customFormat="false" ht="15" hidden="false" customHeight="false" outlineLevel="0" collapsed="false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</row>
    <row r="481" customFormat="false" ht="15" hidden="false" customHeight="false" outlineLevel="0" collapsed="false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</row>
    <row r="482" customFormat="false" ht="15" hidden="false" customHeight="false" outlineLevel="0" collapsed="false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</row>
    <row r="483" customFormat="false" ht="15" hidden="false" customHeight="false" outlineLevel="0" collapsed="false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</row>
    <row r="484" customFormat="false" ht="15" hidden="false" customHeight="false" outlineLevel="0" collapsed="false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</row>
    <row r="485" customFormat="false" ht="15" hidden="false" customHeight="false" outlineLevel="0" collapsed="false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</row>
    <row r="486" customFormat="false" ht="15" hidden="false" customHeight="false" outlineLevel="0" collapsed="false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</row>
    <row r="487" customFormat="false" ht="15" hidden="false" customHeight="false" outlineLevel="0" collapsed="false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</row>
    <row r="488" customFormat="false" ht="15" hidden="false" customHeight="false" outlineLevel="0" collapsed="false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</row>
    <row r="489" customFormat="false" ht="15" hidden="false" customHeight="false" outlineLevel="0" collapsed="false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</row>
    <row r="490" customFormat="false" ht="15" hidden="false" customHeight="false" outlineLevel="0" collapsed="false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</row>
    <row r="491" customFormat="false" ht="15" hidden="false" customHeight="false" outlineLevel="0" collapsed="false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</row>
    <row r="492" customFormat="false" ht="15" hidden="false" customHeight="false" outlineLevel="0" collapsed="false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</row>
    <row r="493" customFormat="false" ht="15" hidden="false" customHeight="false" outlineLevel="0" collapsed="false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</row>
    <row r="494" customFormat="false" ht="15" hidden="false" customHeight="false" outlineLevel="0" collapsed="false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</row>
    <row r="495" customFormat="false" ht="15" hidden="false" customHeight="false" outlineLevel="0" collapsed="false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</row>
    <row r="496" customFormat="false" ht="15" hidden="false" customHeight="false" outlineLevel="0" collapsed="false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</row>
    <row r="497" customFormat="false" ht="15" hidden="false" customHeight="false" outlineLevel="0" collapsed="false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</row>
    <row r="498" customFormat="false" ht="15" hidden="false" customHeight="false" outlineLevel="0" collapsed="false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</row>
    <row r="499" customFormat="false" ht="15" hidden="false" customHeight="false" outlineLevel="0" collapsed="false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</row>
    <row r="500" customFormat="false" ht="15" hidden="false" customHeight="false" outlineLevel="0" collapsed="false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</row>
    <row r="501" customFormat="false" ht="15" hidden="false" customHeight="false" outlineLevel="0" collapsed="false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</row>
    <row r="502" customFormat="false" ht="15" hidden="false" customHeight="false" outlineLevel="0" collapsed="false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</row>
    <row r="503" customFormat="false" ht="15" hidden="false" customHeight="false" outlineLevel="0" collapsed="false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</row>
    <row r="504" customFormat="false" ht="15" hidden="false" customHeight="false" outlineLevel="0" collapsed="false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</row>
    <row r="505" customFormat="false" ht="15" hidden="false" customHeight="false" outlineLevel="0" collapsed="false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</row>
    <row r="506" customFormat="false" ht="15" hidden="false" customHeight="false" outlineLevel="0" collapsed="false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</row>
    <row r="507" customFormat="false" ht="15" hidden="false" customHeight="false" outlineLevel="0" collapsed="false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</row>
    <row r="508" customFormat="false" ht="15" hidden="false" customHeight="false" outlineLevel="0" collapsed="false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</row>
    <row r="509" customFormat="false" ht="15" hidden="false" customHeight="false" outlineLevel="0" collapsed="false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</row>
    <row r="510" customFormat="false" ht="15" hidden="false" customHeight="false" outlineLevel="0" collapsed="false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</row>
    <row r="511" customFormat="false" ht="15" hidden="false" customHeight="false" outlineLevel="0" collapsed="false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</row>
    <row r="512" customFormat="false" ht="15" hidden="false" customHeight="false" outlineLevel="0" collapsed="false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</row>
    <row r="513" customFormat="false" ht="15" hidden="false" customHeight="false" outlineLevel="0" collapsed="false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</row>
    <row r="514" customFormat="false" ht="15" hidden="false" customHeight="false" outlineLevel="0" collapsed="false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</row>
    <row r="515" customFormat="false" ht="15" hidden="false" customHeight="false" outlineLevel="0" collapsed="false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</row>
    <row r="516" customFormat="false" ht="15" hidden="false" customHeight="false" outlineLevel="0" collapsed="false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</row>
    <row r="517" customFormat="false" ht="15" hidden="false" customHeight="false" outlineLevel="0" collapsed="false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</row>
    <row r="518" customFormat="false" ht="15" hidden="false" customHeight="false" outlineLevel="0" collapsed="false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</row>
    <row r="519" customFormat="false" ht="15" hidden="false" customHeight="false" outlineLevel="0" collapsed="false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</row>
    <row r="520" customFormat="false" ht="15" hidden="false" customHeight="false" outlineLevel="0" collapsed="false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</row>
    <row r="521" customFormat="false" ht="15" hidden="false" customHeight="false" outlineLevel="0" collapsed="false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</row>
    <row r="522" customFormat="false" ht="15" hidden="false" customHeight="false" outlineLevel="0" collapsed="false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</row>
    <row r="523" customFormat="false" ht="15" hidden="false" customHeight="false" outlineLevel="0" collapsed="false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</row>
    <row r="524" customFormat="false" ht="15" hidden="false" customHeight="false" outlineLevel="0" collapsed="false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</row>
    <row r="525" customFormat="false" ht="15" hidden="false" customHeight="false" outlineLevel="0" collapsed="false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</row>
    <row r="526" customFormat="false" ht="15" hidden="false" customHeight="false" outlineLevel="0" collapsed="false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</row>
    <row r="527" customFormat="false" ht="15" hidden="false" customHeight="false" outlineLevel="0" collapsed="false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</row>
    <row r="528" customFormat="false" ht="15" hidden="false" customHeight="false" outlineLevel="0" collapsed="false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</row>
    <row r="529" customFormat="false" ht="15" hidden="false" customHeight="false" outlineLevel="0" collapsed="false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</row>
    <row r="530" customFormat="false" ht="15" hidden="false" customHeight="false" outlineLevel="0" collapsed="false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</row>
    <row r="531" customFormat="false" ht="15" hidden="false" customHeight="false" outlineLevel="0" collapsed="false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</row>
    <row r="532" customFormat="false" ht="15" hidden="false" customHeight="false" outlineLevel="0" collapsed="false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</row>
    <row r="533" customFormat="false" ht="15" hidden="false" customHeight="false" outlineLevel="0" collapsed="false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</row>
    <row r="534" customFormat="false" ht="15" hidden="false" customHeight="false" outlineLevel="0" collapsed="false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</row>
    <row r="535" customFormat="false" ht="15" hidden="false" customHeight="false" outlineLevel="0" collapsed="false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</row>
    <row r="536" customFormat="false" ht="15" hidden="false" customHeight="false" outlineLevel="0" collapsed="false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</row>
    <row r="537" customFormat="false" ht="15" hidden="false" customHeight="false" outlineLevel="0" collapsed="false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</row>
    <row r="538" customFormat="false" ht="15" hidden="false" customHeight="false" outlineLevel="0" collapsed="false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</row>
    <row r="539" customFormat="false" ht="15" hidden="false" customHeight="false" outlineLevel="0" collapsed="false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</row>
    <row r="540" customFormat="false" ht="15" hidden="false" customHeight="false" outlineLevel="0" collapsed="false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</row>
    <row r="541" customFormat="false" ht="15" hidden="false" customHeight="false" outlineLevel="0" collapsed="false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</row>
    <row r="542" customFormat="false" ht="15" hidden="false" customHeight="false" outlineLevel="0" collapsed="false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</row>
    <row r="543" customFormat="false" ht="15" hidden="false" customHeight="false" outlineLevel="0" collapsed="false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</row>
    <row r="544" customFormat="false" ht="15" hidden="false" customHeight="false" outlineLevel="0" collapsed="false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</row>
    <row r="545" customFormat="false" ht="15" hidden="false" customHeight="false" outlineLevel="0" collapsed="false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</row>
    <row r="546" customFormat="false" ht="15" hidden="false" customHeight="false" outlineLevel="0" collapsed="false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</row>
    <row r="547" customFormat="false" ht="15" hidden="false" customHeight="false" outlineLevel="0" collapsed="false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</row>
    <row r="548" customFormat="false" ht="15" hidden="false" customHeight="false" outlineLevel="0" collapsed="false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</row>
    <row r="549" customFormat="false" ht="15" hidden="false" customHeight="false" outlineLevel="0" collapsed="false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</row>
    <row r="550" customFormat="false" ht="15" hidden="false" customHeight="false" outlineLevel="0" collapsed="false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</row>
    <row r="551" customFormat="false" ht="15" hidden="false" customHeight="false" outlineLevel="0" collapsed="false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</row>
    <row r="552" customFormat="false" ht="15" hidden="false" customHeight="false" outlineLevel="0" collapsed="false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</row>
    <row r="553" customFormat="false" ht="15" hidden="false" customHeight="false" outlineLevel="0" collapsed="false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</row>
    <row r="554" customFormat="false" ht="15" hidden="false" customHeight="false" outlineLevel="0" collapsed="false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</row>
    <row r="555" customFormat="false" ht="15" hidden="false" customHeight="false" outlineLevel="0" collapsed="false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</row>
    <row r="556" customFormat="false" ht="15" hidden="false" customHeight="false" outlineLevel="0" collapsed="false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</row>
    <row r="557" customFormat="false" ht="15" hidden="false" customHeight="false" outlineLevel="0" collapsed="false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</row>
    <row r="558" customFormat="false" ht="15" hidden="false" customHeight="false" outlineLevel="0" collapsed="false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</row>
    <row r="559" customFormat="false" ht="15" hidden="false" customHeight="false" outlineLevel="0" collapsed="false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</row>
    <row r="560" customFormat="false" ht="15" hidden="false" customHeight="false" outlineLevel="0" collapsed="false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</row>
    <row r="561" customFormat="false" ht="15" hidden="false" customHeight="false" outlineLevel="0" collapsed="false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</row>
    <row r="562" customFormat="false" ht="15" hidden="false" customHeight="false" outlineLevel="0" collapsed="false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</row>
    <row r="563" customFormat="false" ht="15" hidden="false" customHeight="false" outlineLevel="0" collapsed="false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</row>
    <row r="564" customFormat="false" ht="15" hidden="false" customHeight="false" outlineLevel="0" collapsed="false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</row>
    <row r="565" customFormat="false" ht="15" hidden="false" customHeight="false" outlineLevel="0" collapsed="false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</row>
    <row r="566" customFormat="false" ht="15" hidden="false" customHeight="false" outlineLevel="0" collapsed="false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</row>
    <row r="567" customFormat="false" ht="15" hidden="false" customHeight="false" outlineLevel="0" collapsed="false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</row>
    <row r="568" customFormat="false" ht="15" hidden="false" customHeight="false" outlineLevel="0" collapsed="false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</row>
    <row r="569" customFormat="false" ht="15" hidden="false" customHeight="false" outlineLevel="0" collapsed="false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</row>
    <row r="570" customFormat="false" ht="15" hidden="false" customHeight="false" outlineLevel="0" collapsed="false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</row>
    <row r="571" customFormat="false" ht="15" hidden="false" customHeight="false" outlineLevel="0" collapsed="false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</row>
    <row r="572" customFormat="false" ht="15" hidden="false" customHeight="false" outlineLevel="0" collapsed="false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</row>
    <row r="573" customFormat="false" ht="15" hidden="false" customHeight="false" outlineLevel="0" collapsed="false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</row>
    <row r="574" customFormat="false" ht="15" hidden="false" customHeight="false" outlineLevel="0" collapsed="false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</row>
    <row r="575" customFormat="false" ht="15" hidden="false" customHeight="false" outlineLevel="0" collapsed="false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</row>
    <row r="576" customFormat="false" ht="15" hidden="false" customHeight="false" outlineLevel="0" collapsed="false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</row>
    <row r="577" customFormat="false" ht="15" hidden="false" customHeight="false" outlineLevel="0" collapsed="false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</row>
    <row r="578" customFormat="false" ht="15" hidden="false" customHeight="false" outlineLevel="0" collapsed="false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</row>
    <row r="579" customFormat="false" ht="15" hidden="false" customHeight="false" outlineLevel="0" collapsed="false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</row>
    <row r="580" customFormat="false" ht="15" hidden="false" customHeight="false" outlineLevel="0" collapsed="false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</row>
    <row r="581" customFormat="false" ht="15" hidden="false" customHeight="false" outlineLevel="0" collapsed="false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</row>
    <row r="582" customFormat="false" ht="15" hidden="false" customHeight="false" outlineLevel="0" collapsed="false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</row>
    <row r="583" customFormat="false" ht="15" hidden="false" customHeight="false" outlineLevel="0" collapsed="false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</row>
    <row r="584" customFormat="false" ht="15" hidden="false" customHeight="false" outlineLevel="0" collapsed="false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</row>
    <row r="585" customFormat="false" ht="15" hidden="false" customHeight="false" outlineLevel="0" collapsed="false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</row>
    <row r="586" customFormat="false" ht="15" hidden="false" customHeight="false" outlineLevel="0" collapsed="false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</row>
    <row r="587" customFormat="false" ht="15" hidden="false" customHeight="false" outlineLevel="0" collapsed="false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</row>
    <row r="588" customFormat="false" ht="15" hidden="false" customHeight="false" outlineLevel="0" collapsed="false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</row>
    <row r="589" customFormat="false" ht="15" hidden="false" customHeight="false" outlineLevel="0" collapsed="false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</row>
    <row r="590" customFormat="false" ht="15" hidden="false" customHeight="false" outlineLevel="0" collapsed="false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</row>
    <row r="591" customFormat="false" ht="15" hidden="false" customHeight="false" outlineLevel="0" collapsed="false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</row>
    <row r="592" customFormat="false" ht="15" hidden="false" customHeight="false" outlineLevel="0" collapsed="false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</row>
    <row r="593" customFormat="false" ht="15" hidden="false" customHeight="false" outlineLevel="0" collapsed="false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</row>
    <row r="594" customFormat="false" ht="15" hidden="false" customHeight="false" outlineLevel="0" collapsed="false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</row>
    <row r="595" customFormat="false" ht="15" hidden="false" customHeight="false" outlineLevel="0" collapsed="false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</row>
    <row r="596" customFormat="false" ht="15" hidden="false" customHeight="false" outlineLevel="0" collapsed="false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</row>
    <row r="597" customFormat="false" ht="15" hidden="false" customHeight="false" outlineLevel="0" collapsed="false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</row>
    <row r="598" customFormat="false" ht="15" hidden="false" customHeight="false" outlineLevel="0" collapsed="false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</row>
    <row r="599" customFormat="false" ht="15" hidden="false" customHeight="false" outlineLevel="0" collapsed="false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</row>
    <row r="600" customFormat="false" ht="15" hidden="false" customHeight="false" outlineLevel="0" collapsed="false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</row>
    <row r="601" customFormat="false" ht="15" hidden="false" customHeight="false" outlineLevel="0" collapsed="false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</row>
    <row r="602" customFormat="false" ht="15" hidden="false" customHeight="false" outlineLevel="0" collapsed="false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</row>
    <row r="603" customFormat="false" ht="15" hidden="false" customHeight="false" outlineLevel="0" collapsed="false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</row>
    <row r="604" customFormat="false" ht="15" hidden="false" customHeight="false" outlineLevel="0" collapsed="false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</row>
    <row r="605" customFormat="false" ht="15" hidden="false" customHeight="false" outlineLevel="0" collapsed="false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</row>
    <row r="606" customFormat="false" ht="15" hidden="false" customHeight="false" outlineLevel="0" collapsed="false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</row>
    <row r="607" customFormat="false" ht="15" hidden="false" customHeight="false" outlineLevel="0" collapsed="false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</row>
    <row r="608" customFormat="false" ht="15" hidden="false" customHeight="false" outlineLevel="0" collapsed="false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</row>
    <row r="609" customFormat="false" ht="15" hidden="false" customHeight="false" outlineLevel="0" collapsed="false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</row>
    <row r="610" customFormat="false" ht="15" hidden="false" customHeight="false" outlineLevel="0" collapsed="false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</row>
    <row r="611" customFormat="false" ht="15" hidden="false" customHeight="false" outlineLevel="0" collapsed="false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</row>
    <row r="612" customFormat="false" ht="15" hidden="false" customHeight="false" outlineLevel="0" collapsed="false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</row>
    <row r="613" customFormat="false" ht="15" hidden="false" customHeight="false" outlineLevel="0" collapsed="false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</row>
    <row r="614" customFormat="false" ht="15" hidden="false" customHeight="false" outlineLevel="0" collapsed="false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</row>
    <row r="615" customFormat="false" ht="15" hidden="false" customHeight="false" outlineLevel="0" collapsed="false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</row>
    <row r="616" customFormat="false" ht="15" hidden="false" customHeight="false" outlineLevel="0" collapsed="false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</row>
    <row r="617" customFormat="false" ht="15" hidden="false" customHeight="false" outlineLevel="0" collapsed="false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</row>
    <row r="618" customFormat="false" ht="15" hidden="false" customHeight="false" outlineLevel="0" collapsed="false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</row>
    <row r="619" customFormat="false" ht="15" hidden="false" customHeight="false" outlineLevel="0" collapsed="false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</row>
    <row r="620" customFormat="false" ht="15" hidden="false" customHeight="false" outlineLevel="0" collapsed="false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</row>
    <row r="621" customFormat="false" ht="15" hidden="false" customHeight="false" outlineLevel="0" collapsed="false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</row>
    <row r="622" customFormat="false" ht="15" hidden="false" customHeight="false" outlineLevel="0" collapsed="false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</row>
    <row r="623" customFormat="false" ht="15" hidden="false" customHeight="false" outlineLevel="0" collapsed="false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</row>
    <row r="624" customFormat="false" ht="15" hidden="false" customHeight="false" outlineLevel="0" collapsed="false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</row>
    <row r="625" customFormat="false" ht="15" hidden="false" customHeight="false" outlineLevel="0" collapsed="false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</row>
    <row r="626" customFormat="false" ht="15" hidden="false" customHeight="false" outlineLevel="0" collapsed="false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</row>
    <row r="627" customFormat="false" ht="15" hidden="false" customHeight="false" outlineLevel="0" collapsed="false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</row>
    <row r="628" customFormat="false" ht="15" hidden="false" customHeight="false" outlineLevel="0" collapsed="false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</row>
    <row r="629" customFormat="false" ht="15" hidden="false" customHeight="false" outlineLevel="0" collapsed="false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</row>
    <row r="630" customFormat="false" ht="15" hidden="false" customHeight="false" outlineLevel="0" collapsed="false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</row>
    <row r="631" customFormat="false" ht="15" hidden="false" customHeight="false" outlineLevel="0" collapsed="false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</row>
    <row r="632" customFormat="false" ht="15" hidden="false" customHeight="false" outlineLevel="0" collapsed="false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</row>
    <row r="633" customFormat="false" ht="15" hidden="false" customHeight="false" outlineLevel="0" collapsed="false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</row>
    <row r="634" customFormat="false" ht="15" hidden="false" customHeight="false" outlineLevel="0" collapsed="false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</row>
    <row r="635" customFormat="false" ht="15" hidden="false" customHeight="false" outlineLevel="0" collapsed="false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</row>
    <row r="636" customFormat="false" ht="15" hidden="false" customHeight="false" outlineLevel="0" collapsed="false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</row>
    <row r="637" customFormat="false" ht="15" hidden="false" customHeight="false" outlineLevel="0" collapsed="false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</row>
    <row r="638" customFormat="false" ht="15" hidden="false" customHeight="false" outlineLevel="0" collapsed="false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</row>
    <row r="639" customFormat="false" ht="15" hidden="false" customHeight="false" outlineLevel="0" collapsed="false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</row>
    <row r="640" customFormat="false" ht="15" hidden="false" customHeight="false" outlineLevel="0" collapsed="false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</row>
    <row r="641" customFormat="false" ht="15" hidden="false" customHeight="false" outlineLevel="0" collapsed="false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</row>
    <row r="642" customFormat="false" ht="15" hidden="false" customHeight="false" outlineLevel="0" collapsed="false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</row>
    <row r="643" customFormat="false" ht="15" hidden="false" customHeight="false" outlineLevel="0" collapsed="false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</row>
    <row r="644" customFormat="false" ht="15" hidden="false" customHeight="false" outlineLevel="0" collapsed="false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</row>
    <row r="645" customFormat="false" ht="15" hidden="false" customHeight="false" outlineLevel="0" collapsed="false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</row>
    <row r="646" customFormat="false" ht="15" hidden="false" customHeight="false" outlineLevel="0" collapsed="false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</row>
    <row r="647" customFormat="false" ht="15" hidden="false" customHeight="false" outlineLevel="0" collapsed="false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</row>
    <row r="648" customFormat="false" ht="15" hidden="false" customHeight="false" outlineLevel="0" collapsed="false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</row>
    <row r="649" customFormat="false" ht="15" hidden="false" customHeight="false" outlineLevel="0" collapsed="false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</row>
    <row r="650" customFormat="false" ht="15" hidden="false" customHeight="false" outlineLevel="0" collapsed="false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</row>
    <row r="651" customFormat="false" ht="15" hidden="false" customHeight="false" outlineLevel="0" collapsed="false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</row>
    <row r="652" customFormat="false" ht="15" hidden="false" customHeight="false" outlineLevel="0" collapsed="false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</row>
    <row r="653" customFormat="false" ht="15" hidden="false" customHeight="false" outlineLevel="0" collapsed="false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</row>
    <row r="654" customFormat="false" ht="15" hidden="false" customHeight="false" outlineLevel="0" collapsed="false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</row>
    <row r="655" customFormat="false" ht="15" hidden="false" customHeight="false" outlineLevel="0" collapsed="false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</row>
    <row r="656" customFormat="false" ht="15" hidden="false" customHeight="false" outlineLevel="0" collapsed="false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</row>
    <row r="657" customFormat="false" ht="15" hidden="false" customHeight="false" outlineLevel="0" collapsed="false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</row>
    <row r="658" customFormat="false" ht="15" hidden="false" customHeight="false" outlineLevel="0" collapsed="false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</row>
    <row r="659" customFormat="false" ht="15" hidden="false" customHeight="false" outlineLevel="0" collapsed="false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</row>
    <row r="660" customFormat="false" ht="15" hidden="false" customHeight="false" outlineLevel="0" collapsed="false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</row>
    <row r="661" customFormat="false" ht="15" hidden="false" customHeight="false" outlineLevel="0" collapsed="false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</row>
    <row r="662" customFormat="false" ht="15" hidden="false" customHeight="false" outlineLevel="0" collapsed="false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</row>
    <row r="663" customFormat="false" ht="15" hidden="false" customHeight="false" outlineLevel="0" collapsed="false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</row>
    <row r="664" customFormat="false" ht="15" hidden="false" customHeight="false" outlineLevel="0" collapsed="false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</row>
    <row r="665" customFormat="false" ht="15" hidden="false" customHeight="false" outlineLevel="0" collapsed="false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</row>
    <row r="666" customFormat="false" ht="15" hidden="false" customHeight="false" outlineLevel="0" collapsed="false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</row>
    <row r="667" customFormat="false" ht="15" hidden="false" customHeight="false" outlineLevel="0" collapsed="false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</row>
    <row r="668" customFormat="false" ht="15" hidden="false" customHeight="false" outlineLevel="0" collapsed="false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</row>
    <row r="669" customFormat="false" ht="15" hidden="false" customHeight="false" outlineLevel="0" collapsed="false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</row>
    <row r="670" customFormat="false" ht="15" hidden="false" customHeight="false" outlineLevel="0" collapsed="false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</row>
    <row r="671" customFormat="false" ht="15" hidden="false" customHeight="false" outlineLevel="0" collapsed="false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</row>
    <row r="672" customFormat="false" ht="15" hidden="false" customHeight="false" outlineLevel="0" collapsed="false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</row>
    <row r="673" customFormat="false" ht="15" hidden="false" customHeight="false" outlineLevel="0" collapsed="false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</row>
    <row r="674" customFormat="false" ht="15" hidden="false" customHeight="false" outlineLevel="0" collapsed="false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</row>
    <row r="675" customFormat="false" ht="15" hidden="false" customHeight="false" outlineLevel="0" collapsed="false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</row>
    <row r="676" customFormat="false" ht="15" hidden="false" customHeight="false" outlineLevel="0" collapsed="false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</row>
    <row r="677" customFormat="false" ht="15" hidden="false" customHeight="false" outlineLevel="0" collapsed="false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</row>
    <row r="678" customFormat="false" ht="15" hidden="false" customHeight="false" outlineLevel="0" collapsed="false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</row>
    <row r="679" customFormat="false" ht="15" hidden="false" customHeight="false" outlineLevel="0" collapsed="false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</row>
    <row r="680" customFormat="false" ht="15" hidden="false" customHeight="false" outlineLevel="0" collapsed="false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</row>
    <row r="681" customFormat="false" ht="15" hidden="false" customHeight="false" outlineLevel="0" collapsed="false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</row>
    <row r="682" customFormat="false" ht="15" hidden="false" customHeight="false" outlineLevel="0" collapsed="false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</row>
    <row r="683" customFormat="false" ht="15" hidden="false" customHeight="false" outlineLevel="0" collapsed="false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</row>
    <row r="684" customFormat="false" ht="15" hidden="false" customHeight="false" outlineLevel="0" collapsed="false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</row>
    <row r="685" customFormat="false" ht="15" hidden="false" customHeight="false" outlineLevel="0" collapsed="false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</row>
    <row r="686" customFormat="false" ht="15" hidden="false" customHeight="false" outlineLevel="0" collapsed="false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</row>
    <row r="687" customFormat="false" ht="15" hidden="false" customHeight="false" outlineLevel="0" collapsed="false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</row>
    <row r="688" customFormat="false" ht="15" hidden="false" customHeight="false" outlineLevel="0" collapsed="false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</row>
    <row r="689" customFormat="false" ht="15" hidden="false" customHeight="false" outlineLevel="0" collapsed="false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</row>
    <row r="690" customFormat="false" ht="15" hidden="false" customHeight="false" outlineLevel="0" collapsed="false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</row>
    <row r="691" customFormat="false" ht="15" hidden="false" customHeight="false" outlineLevel="0" collapsed="false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</row>
    <row r="692" customFormat="false" ht="15" hidden="false" customHeight="false" outlineLevel="0" collapsed="false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</row>
    <row r="693" customFormat="false" ht="15" hidden="false" customHeight="false" outlineLevel="0" collapsed="false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</row>
    <row r="694" customFormat="false" ht="15" hidden="false" customHeight="false" outlineLevel="0" collapsed="false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</row>
    <row r="695" customFormat="false" ht="15" hidden="false" customHeight="false" outlineLevel="0" collapsed="false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</row>
    <row r="696" customFormat="false" ht="15" hidden="false" customHeight="false" outlineLevel="0" collapsed="false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</row>
    <row r="697" customFormat="false" ht="15" hidden="false" customHeight="false" outlineLevel="0" collapsed="false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</row>
    <row r="698" customFormat="false" ht="15" hidden="false" customHeight="false" outlineLevel="0" collapsed="false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</row>
    <row r="699" customFormat="false" ht="15" hidden="false" customHeight="false" outlineLevel="0" collapsed="false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</row>
    <row r="700" customFormat="false" ht="15" hidden="false" customHeight="false" outlineLevel="0" collapsed="false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</row>
    <row r="701" customFormat="false" ht="15" hidden="false" customHeight="false" outlineLevel="0" collapsed="false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</row>
    <row r="702" customFormat="false" ht="15" hidden="false" customHeight="false" outlineLevel="0" collapsed="false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</row>
    <row r="703" customFormat="false" ht="15" hidden="false" customHeight="false" outlineLevel="0" collapsed="false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</row>
    <row r="704" customFormat="false" ht="15" hidden="false" customHeight="false" outlineLevel="0" collapsed="false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</row>
    <row r="705" customFormat="false" ht="15" hidden="false" customHeight="false" outlineLevel="0" collapsed="false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</row>
    <row r="706" customFormat="false" ht="15" hidden="false" customHeight="false" outlineLevel="0" collapsed="false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</row>
    <row r="707" customFormat="false" ht="15" hidden="false" customHeight="false" outlineLevel="0" collapsed="false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</row>
    <row r="708" customFormat="false" ht="15" hidden="false" customHeight="false" outlineLevel="0" collapsed="false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</row>
    <row r="709" customFormat="false" ht="15" hidden="false" customHeight="false" outlineLevel="0" collapsed="false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</row>
    <row r="710" customFormat="false" ht="15" hidden="false" customHeight="false" outlineLevel="0" collapsed="false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</row>
    <row r="711" customFormat="false" ht="15" hidden="false" customHeight="false" outlineLevel="0" collapsed="false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</row>
    <row r="712" customFormat="false" ht="15" hidden="false" customHeight="false" outlineLevel="0" collapsed="false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</row>
    <row r="713" customFormat="false" ht="15" hidden="false" customHeight="false" outlineLevel="0" collapsed="false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</row>
    <row r="714" customFormat="false" ht="15" hidden="false" customHeight="false" outlineLevel="0" collapsed="false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</row>
    <row r="715" customFormat="false" ht="15" hidden="false" customHeight="false" outlineLevel="0" collapsed="false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</row>
    <row r="716" customFormat="false" ht="15" hidden="false" customHeight="false" outlineLevel="0" collapsed="false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</row>
    <row r="717" customFormat="false" ht="15" hidden="false" customHeight="false" outlineLevel="0" collapsed="false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</row>
    <row r="718" customFormat="false" ht="15" hidden="false" customHeight="false" outlineLevel="0" collapsed="false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</row>
    <row r="719" customFormat="false" ht="15" hidden="false" customHeight="false" outlineLevel="0" collapsed="false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</row>
    <row r="720" customFormat="false" ht="15" hidden="false" customHeight="false" outlineLevel="0" collapsed="false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</row>
    <row r="721" customFormat="false" ht="15" hidden="false" customHeight="false" outlineLevel="0" collapsed="false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</row>
    <row r="722" customFormat="false" ht="15" hidden="false" customHeight="false" outlineLevel="0" collapsed="false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</row>
    <row r="723" customFormat="false" ht="15" hidden="false" customHeight="false" outlineLevel="0" collapsed="false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</row>
    <row r="724" customFormat="false" ht="15" hidden="false" customHeight="false" outlineLevel="0" collapsed="false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</row>
    <row r="725" customFormat="false" ht="15" hidden="false" customHeight="false" outlineLevel="0" collapsed="false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</row>
    <row r="726" customFormat="false" ht="15" hidden="false" customHeight="false" outlineLevel="0" collapsed="false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</row>
    <row r="727" customFormat="false" ht="15" hidden="false" customHeight="false" outlineLevel="0" collapsed="false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</row>
    <row r="728" customFormat="false" ht="15" hidden="false" customHeight="false" outlineLevel="0" collapsed="false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</row>
    <row r="729" customFormat="false" ht="15" hidden="false" customHeight="false" outlineLevel="0" collapsed="false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</row>
    <row r="730" customFormat="false" ht="15" hidden="false" customHeight="false" outlineLevel="0" collapsed="false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</row>
    <row r="731" customFormat="false" ht="15" hidden="false" customHeight="false" outlineLevel="0" collapsed="false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</row>
    <row r="732" customFormat="false" ht="15" hidden="false" customHeight="false" outlineLevel="0" collapsed="false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</row>
    <row r="733" customFormat="false" ht="15" hidden="false" customHeight="false" outlineLevel="0" collapsed="false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</row>
    <row r="734" customFormat="false" ht="15" hidden="false" customHeight="false" outlineLevel="0" collapsed="false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</row>
    <row r="735" customFormat="false" ht="15" hidden="false" customHeight="false" outlineLevel="0" collapsed="false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</row>
    <row r="736" customFormat="false" ht="15" hidden="false" customHeight="false" outlineLevel="0" collapsed="false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</row>
    <row r="737" customFormat="false" ht="15" hidden="false" customHeight="false" outlineLevel="0" collapsed="false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</row>
    <row r="738" customFormat="false" ht="15" hidden="false" customHeight="false" outlineLevel="0" collapsed="false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</row>
    <row r="739" customFormat="false" ht="15" hidden="false" customHeight="false" outlineLevel="0" collapsed="false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</row>
    <row r="740" customFormat="false" ht="15" hidden="false" customHeight="false" outlineLevel="0" collapsed="false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</row>
    <row r="741" customFormat="false" ht="15" hidden="false" customHeight="false" outlineLevel="0" collapsed="false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</row>
    <row r="742" customFormat="false" ht="15" hidden="false" customHeight="false" outlineLevel="0" collapsed="false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</row>
    <row r="743" customFormat="false" ht="15" hidden="false" customHeight="false" outlineLevel="0" collapsed="false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</row>
    <row r="744" customFormat="false" ht="15" hidden="false" customHeight="false" outlineLevel="0" collapsed="false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</row>
    <row r="745" customFormat="false" ht="15" hidden="false" customHeight="false" outlineLevel="0" collapsed="false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</row>
    <row r="746" customFormat="false" ht="15" hidden="false" customHeight="false" outlineLevel="0" collapsed="false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</row>
    <row r="747" customFormat="false" ht="15" hidden="false" customHeight="false" outlineLevel="0" collapsed="false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</row>
    <row r="748" customFormat="false" ht="15" hidden="false" customHeight="false" outlineLevel="0" collapsed="false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</row>
    <row r="749" customFormat="false" ht="15" hidden="false" customHeight="false" outlineLevel="0" collapsed="false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</row>
    <row r="750" customFormat="false" ht="15" hidden="false" customHeight="false" outlineLevel="0" collapsed="false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</row>
    <row r="751" customFormat="false" ht="15" hidden="false" customHeight="false" outlineLevel="0" collapsed="false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</row>
    <row r="752" customFormat="false" ht="15" hidden="false" customHeight="false" outlineLevel="0" collapsed="false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</row>
    <row r="753" customFormat="false" ht="15" hidden="false" customHeight="false" outlineLevel="0" collapsed="false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</row>
    <row r="754" customFormat="false" ht="15" hidden="false" customHeight="false" outlineLevel="0" collapsed="false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</row>
    <row r="755" customFormat="false" ht="15" hidden="false" customHeight="false" outlineLevel="0" collapsed="false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</row>
    <row r="756" customFormat="false" ht="15" hidden="false" customHeight="false" outlineLevel="0" collapsed="false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</row>
    <row r="757" customFormat="false" ht="15" hidden="false" customHeight="false" outlineLevel="0" collapsed="false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</row>
    <row r="758" customFormat="false" ht="15" hidden="false" customHeight="false" outlineLevel="0" collapsed="false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</row>
    <row r="759" customFormat="false" ht="15" hidden="false" customHeight="false" outlineLevel="0" collapsed="false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</row>
    <row r="760" customFormat="false" ht="15" hidden="false" customHeight="false" outlineLevel="0" collapsed="false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</row>
    <row r="761" customFormat="false" ht="15" hidden="false" customHeight="false" outlineLevel="0" collapsed="false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</row>
    <row r="762" customFormat="false" ht="15" hidden="false" customHeight="false" outlineLevel="0" collapsed="false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</row>
    <row r="763" customFormat="false" ht="15" hidden="false" customHeight="false" outlineLevel="0" collapsed="false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</row>
    <row r="764" customFormat="false" ht="15" hidden="false" customHeight="false" outlineLevel="0" collapsed="false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</row>
    <row r="765" customFormat="false" ht="15" hidden="false" customHeight="false" outlineLevel="0" collapsed="false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</row>
    <row r="766" customFormat="false" ht="15" hidden="false" customHeight="false" outlineLevel="0" collapsed="false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</row>
    <row r="767" customFormat="false" ht="15" hidden="false" customHeight="false" outlineLevel="0" collapsed="false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</row>
    <row r="768" customFormat="false" ht="15" hidden="false" customHeight="false" outlineLevel="0" collapsed="false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</row>
    <row r="769" customFormat="false" ht="15" hidden="false" customHeight="false" outlineLevel="0" collapsed="false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</row>
    <row r="770" customFormat="false" ht="15" hidden="false" customHeight="false" outlineLevel="0" collapsed="false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</row>
    <row r="771" customFormat="false" ht="15" hidden="false" customHeight="false" outlineLevel="0" collapsed="false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</row>
    <row r="772" customFormat="false" ht="15" hidden="false" customHeight="false" outlineLevel="0" collapsed="false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</row>
    <row r="773" customFormat="false" ht="15" hidden="false" customHeight="false" outlineLevel="0" collapsed="false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</row>
    <row r="774" customFormat="false" ht="15" hidden="false" customHeight="false" outlineLevel="0" collapsed="false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</row>
    <row r="775" customFormat="false" ht="15" hidden="false" customHeight="false" outlineLevel="0" collapsed="false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</row>
    <row r="776" customFormat="false" ht="15" hidden="false" customHeight="false" outlineLevel="0" collapsed="false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</row>
    <row r="777" customFormat="false" ht="15" hidden="false" customHeight="false" outlineLevel="0" collapsed="false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</row>
    <row r="778" customFormat="false" ht="15" hidden="false" customHeight="false" outlineLevel="0" collapsed="false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</row>
    <row r="779" customFormat="false" ht="15" hidden="false" customHeight="false" outlineLevel="0" collapsed="false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</row>
    <row r="780" customFormat="false" ht="15" hidden="false" customHeight="false" outlineLevel="0" collapsed="false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</row>
    <row r="781" customFormat="false" ht="15" hidden="false" customHeight="false" outlineLevel="0" collapsed="false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</row>
    <row r="782" customFormat="false" ht="15" hidden="false" customHeight="false" outlineLevel="0" collapsed="false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</row>
    <row r="783" customFormat="false" ht="15" hidden="false" customHeight="false" outlineLevel="0" collapsed="false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</row>
    <row r="784" customFormat="false" ht="15" hidden="false" customHeight="false" outlineLevel="0" collapsed="false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</row>
    <row r="785" customFormat="false" ht="15" hidden="false" customHeight="false" outlineLevel="0" collapsed="false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</row>
    <row r="786" customFormat="false" ht="15" hidden="false" customHeight="false" outlineLevel="0" collapsed="false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</row>
    <row r="787" customFormat="false" ht="15" hidden="false" customHeight="false" outlineLevel="0" collapsed="false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</row>
    <row r="788" customFormat="false" ht="15" hidden="false" customHeight="false" outlineLevel="0" collapsed="false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</row>
    <row r="789" customFormat="false" ht="15" hidden="false" customHeight="false" outlineLevel="0" collapsed="false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</row>
    <row r="790" customFormat="false" ht="15" hidden="false" customHeight="false" outlineLevel="0" collapsed="false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</row>
    <row r="791" customFormat="false" ht="15" hidden="false" customHeight="false" outlineLevel="0" collapsed="false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</row>
    <row r="792" customFormat="false" ht="15" hidden="false" customHeight="false" outlineLevel="0" collapsed="false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</row>
    <row r="793" customFormat="false" ht="15" hidden="false" customHeight="false" outlineLevel="0" collapsed="false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</row>
    <row r="794" customFormat="false" ht="15" hidden="false" customHeight="false" outlineLevel="0" collapsed="false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</row>
    <row r="795" customFormat="false" ht="15" hidden="false" customHeight="false" outlineLevel="0" collapsed="false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</row>
    <row r="796" customFormat="false" ht="15" hidden="false" customHeight="false" outlineLevel="0" collapsed="false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</row>
    <row r="797" customFormat="false" ht="15" hidden="false" customHeight="false" outlineLevel="0" collapsed="false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</row>
    <row r="798" customFormat="false" ht="15" hidden="false" customHeight="false" outlineLevel="0" collapsed="false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</row>
    <row r="799" customFormat="false" ht="15" hidden="false" customHeight="false" outlineLevel="0" collapsed="false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</row>
    <row r="800" customFormat="false" ht="15" hidden="false" customHeight="false" outlineLevel="0" collapsed="false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</row>
    <row r="801" customFormat="false" ht="15" hidden="false" customHeight="false" outlineLevel="0" collapsed="false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</row>
    <row r="802" customFormat="false" ht="15" hidden="false" customHeight="false" outlineLevel="0" collapsed="false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</row>
    <row r="803" customFormat="false" ht="15" hidden="false" customHeight="false" outlineLevel="0" collapsed="false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</row>
    <row r="804" customFormat="false" ht="15" hidden="false" customHeight="false" outlineLevel="0" collapsed="false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</row>
    <row r="805" customFormat="false" ht="15" hidden="false" customHeight="false" outlineLevel="0" collapsed="false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</row>
    <row r="806" customFormat="false" ht="15" hidden="false" customHeight="false" outlineLevel="0" collapsed="false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</row>
    <row r="807" customFormat="false" ht="15" hidden="false" customHeight="false" outlineLevel="0" collapsed="false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</row>
    <row r="808" customFormat="false" ht="15" hidden="false" customHeight="false" outlineLevel="0" collapsed="false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</row>
    <row r="809" customFormat="false" ht="15" hidden="false" customHeight="false" outlineLevel="0" collapsed="false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</row>
    <row r="810" customFormat="false" ht="15" hidden="false" customHeight="false" outlineLevel="0" collapsed="false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</row>
    <row r="811" customFormat="false" ht="15" hidden="false" customHeight="false" outlineLevel="0" collapsed="false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</row>
    <row r="812" customFormat="false" ht="15" hidden="false" customHeight="false" outlineLevel="0" collapsed="false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</row>
    <row r="813" customFormat="false" ht="15" hidden="false" customHeight="false" outlineLevel="0" collapsed="false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</row>
    <row r="814" customFormat="false" ht="15" hidden="false" customHeight="false" outlineLevel="0" collapsed="false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</row>
    <row r="815" customFormat="false" ht="15" hidden="false" customHeight="false" outlineLevel="0" collapsed="false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</row>
    <row r="816" customFormat="false" ht="15" hidden="false" customHeight="false" outlineLevel="0" collapsed="false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</row>
    <row r="817" customFormat="false" ht="15" hidden="false" customHeight="false" outlineLevel="0" collapsed="false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</row>
    <row r="818" customFormat="false" ht="15" hidden="false" customHeight="false" outlineLevel="0" collapsed="false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</row>
    <row r="819" customFormat="false" ht="15" hidden="false" customHeight="false" outlineLevel="0" collapsed="false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</row>
    <row r="820" customFormat="false" ht="15" hidden="false" customHeight="false" outlineLevel="0" collapsed="false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</row>
    <row r="821" customFormat="false" ht="15" hidden="false" customHeight="false" outlineLevel="0" collapsed="false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</row>
    <row r="822" customFormat="false" ht="15" hidden="false" customHeight="false" outlineLevel="0" collapsed="false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</row>
    <row r="823" customFormat="false" ht="15" hidden="false" customHeight="false" outlineLevel="0" collapsed="false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</row>
    <row r="824" customFormat="false" ht="15" hidden="false" customHeight="false" outlineLevel="0" collapsed="false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</row>
    <row r="825" customFormat="false" ht="15" hidden="false" customHeight="false" outlineLevel="0" collapsed="false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</row>
    <row r="826" customFormat="false" ht="15" hidden="false" customHeight="false" outlineLevel="0" collapsed="false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</row>
    <row r="827" customFormat="false" ht="15" hidden="false" customHeight="false" outlineLevel="0" collapsed="false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</row>
    <row r="828" customFormat="false" ht="15" hidden="false" customHeight="false" outlineLevel="0" collapsed="false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</row>
    <row r="829" customFormat="false" ht="15" hidden="false" customHeight="false" outlineLevel="0" collapsed="false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</row>
    <row r="830" customFormat="false" ht="15" hidden="false" customHeight="false" outlineLevel="0" collapsed="false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</row>
    <row r="831" customFormat="false" ht="15" hidden="false" customHeight="false" outlineLevel="0" collapsed="false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</row>
    <row r="832" customFormat="false" ht="15" hidden="false" customHeight="false" outlineLevel="0" collapsed="false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</row>
    <row r="833" customFormat="false" ht="15" hidden="false" customHeight="false" outlineLevel="0" collapsed="false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</row>
    <row r="834" customFormat="false" ht="15" hidden="false" customHeight="false" outlineLevel="0" collapsed="false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</row>
    <row r="835" customFormat="false" ht="15" hidden="false" customHeight="false" outlineLevel="0" collapsed="false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</row>
    <row r="836" customFormat="false" ht="15" hidden="false" customHeight="false" outlineLevel="0" collapsed="false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</row>
    <row r="837" customFormat="false" ht="15" hidden="false" customHeight="false" outlineLevel="0" collapsed="false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</row>
    <row r="838" customFormat="false" ht="15" hidden="false" customHeight="false" outlineLevel="0" collapsed="false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</row>
    <row r="839" customFormat="false" ht="15" hidden="false" customHeight="false" outlineLevel="0" collapsed="false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</row>
    <row r="840" customFormat="false" ht="15" hidden="false" customHeight="false" outlineLevel="0" collapsed="false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</row>
    <row r="841" customFormat="false" ht="15" hidden="false" customHeight="false" outlineLevel="0" collapsed="false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</row>
    <row r="842" customFormat="false" ht="15" hidden="false" customHeight="false" outlineLevel="0" collapsed="false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</row>
    <row r="843" customFormat="false" ht="15" hidden="false" customHeight="false" outlineLevel="0" collapsed="false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</row>
    <row r="844" customFormat="false" ht="15" hidden="false" customHeight="false" outlineLevel="0" collapsed="false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</row>
    <row r="845" customFormat="false" ht="15" hidden="false" customHeight="false" outlineLevel="0" collapsed="false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</row>
    <row r="846" customFormat="false" ht="15" hidden="false" customHeight="false" outlineLevel="0" collapsed="false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</row>
    <row r="847" customFormat="false" ht="15" hidden="false" customHeight="false" outlineLevel="0" collapsed="false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</row>
    <row r="848" customFormat="false" ht="15" hidden="false" customHeight="false" outlineLevel="0" collapsed="false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</row>
    <row r="849" customFormat="false" ht="15" hidden="false" customHeight="false" outlineLevel="0" collapsed="false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</row>
    <row r="850" customFormat="false" ht="15" hidden="false" customHeight="false" outlineLevel="0" collapsed="false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</row>
    <row r="851" customFormat="false" ht="15" hidden="false" customHeight="false" outlineLevel="0" collapsed="false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</row>
    <row r="852" customFormat="false" ht="15" hidden="false" customHeight="false" outlineLevel="0" collapsed="false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</row>
    <row r="853" customFormat="false" ht="15" hidden="false" customHeight="false" outlineLevel="0" collapsed="false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</row>
    <row r="854" customFormat="false" ht="15" hidden="false" customHeight="false" outlineLevel="0" collapsed="false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</row>
    <row r="855" customFormat="false" ht="15" hidden="false" customHeight="false" outlineLevel="0" collapsed="false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</row>
    <row r="856" customFormat="false" ht="15" hidden="false" customHeight="false" outlineLevel="0" collapsed="false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</row>
    <row r="857" customFormat="false" ht="15" hidden="false" customHeight="false" outlineLevel="0" collapsed="false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</row>
    <row r="858" customFormat="false" ht="15" hidden="false" customHeight="false" outlineLevel="0" collapsed="false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</row>
    <row r="859" customFormat="false" ht="15" hidden="false" customHeight="false" outlineLevel="0" collapsed="false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</row>
    <row r="860" customFormat="false" ht="15" hidden="false" customHeight="false" outlineLevel="0" collapsed="false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</row>
    <row r="861" customFormat="false" ht="15" hidden="false" customHeight="false" outlineLevel="0" collapsed="false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</row>
    <row r="862" customFormat="false" ht="15" hidden="false" customHeight="false" outlineLevel="0" collapsed="false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</row>
    <row r="863" customFormat="false" ht="15" hidden="false" customHeight="false" outlineLevel="0" collapsed="false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</row>
    <row r="864" customFormat="false" ht="15" hidden="false" customHeight="false" outlineLevel="0" collapsed="false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</row>
    <row r="865" customFormat="false" ht="15" hidden="false" customHeight="false" outlineLevel="0" collapsed="false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</row>
    <row r="866" customFormat="false" ht="15" hidden="false" customHeight="false" outlineLevel="0" collapsed="false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</row>
    <row r="867" customFormat="false" ht="15" hidden="false" customHeight="false" outlineLevel="0" collapsed="false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</row>
    <row r="868" customFormat="false" ht="15" hidden="false" customHeight="false" outlineLevel="0" collapsed="false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</row>
    <row r="869" customFormat="false" ht="15" hidden="false" customHeight="false" outlineLevel="0" collapsed="false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</row>
    <row r="870" customFormat="false" ht="15" hidden="false" customHeight="false" outlineLevel="0" collapsed="false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</row>
    <row r="871" customFormat="false" ht="15" hidden="false" customHeight="false" outlineLevel="0" collapsed="false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</row>
    <row r="872" customFormat="false" ht="15" hidden="false" customHeight="false" outlineLevel="0" collapsed="false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</row>
    <row r="873" customFormat="false" ht="15" hidden="false" customHeight="false" outlineLevel="0" collapsed="false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</row>
    <row r="874" customFormat="false" ht="15" hidden="false" customHeight="false" outlineLevel="0" collapsed="false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</row>
    <row r="875" customFormat="false" ht="15" hidden="false" customHeight="false" outlineLevel="0" collapsed="false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</row>
    <row r="876" customFormat="false" ht="15" hidden="false" customHeight="false" outlineLevel="0" collapsed="false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</row>
    <row r="877" customFormat="false" ht="15" hidden="false" customHeight="false" outlineLevel="0" collapsed="false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</row>
    <row r="878" customFormat="false" ht="15" hidden="false" customHeight="false" outlineLevel="0" collapsed="false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</row>
    <row r="879" customFormat="false" ht="15" hidden="false" customHeight="false" outlineLevel="0" collapsed="false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</row>
    <row r="880" customFormat="false" ht="15" hidden="false" customHeight="false" outlineLevel="0" collapsed="false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</row>
    <row r="881" customFormat="false" ht="15" hidden="false" customHeight="false" outlineLevel="0" collapsed="false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</row>
    <row r="882" customFormat="false" ht="15" hidden="false" customHeight="false" outlineLevel="0" collapsed="false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</row>
    <row r="883" customFormat="false" ht="15" hidden="false" customHeight="false" outlineLevel="0" collapsed="false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</row>
    <row r="884" customFormat="false" ht="15" hidden="false" customHeight="false" outlineLevel="0" collapsed="false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</row>
    <row r="885" customFormat="false" ht="15" hidden="false" customHeight="false" outlineLevel="0" collapsed="false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</row>
    <row r="886" customFormat="false" ht="15" hidden="false" customHeight="false" outlineLevel="0" collapsed="false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</row>
    <row r="887" customFormat="false" ht="15" hidden="false" customHeight="false" outlineLevel="0" collapsed="false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</row>
    <row r="888" customFormat="false" ht="15" hidden="false" customHeight="false" outlineLevel="0" collapsed="false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</row>
    <row r="889" customFormat="false" ht="15" hidden="false" customHeight="false" outlineLevel="0" collapsed="false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</row>
    <row r="890" customFormat="false" ht="15" hidden="false" customHeight="false" outlineLevel="0" collapsed="false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</row>
    <row r="891" customFormat="false" ht="15" hidden="false" customHeight="false" outlineLevel="0" collapsed="false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</row>
    <row r="892" customFormat="false" ht="15" hidden="false" customHeight="false" outlineLevel="0" collapsed="false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</row>
    <row r="893" customFormat="false" ht="15" hidden="false" customHeight="false" outlineLevel="0" collapsed="false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</row>
    <row r="894" customFormat="false" ht="15" hidden="false" customHeight="false" outlineLevel="0" collapsed="false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</row>
    <row r="895" customFormat="false" ht="15" hidden="false" customHeight="false" outlineLevel="0" collapsed="false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</row>
    <row r="896" customFormat="false" ht="15" hidden="false" customHeight="false" outlineLevel="0" collapsed="false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</row>
    <row r="897" customFormat="false" ht="15" hidden="false" customHeight="false" outlineLevel="0" collapsed="false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</row>
    <row r="898" customFormat="false" ht="15" hidden="false" customHeight="false" outlineLevel="0" collapsed="false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</row>
    <row r="899" customFormat="false" ht="15" hidden="false" customHeight="false" outlineLevel="0" collapsed="false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</row>
    <row r="900" customFormat="false" ht="15" hidden="false" customHeight="false" outlineLevel="0" collapsed="false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</row>
    <row r="901" customFormat="false" ht="15" hidden="false" customHeight="false" outlineLevel="0" collapsed="false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</row>
    <row r="902" customFormat="false" ht="15" hidden="false" customHeight="false" outlineLevel="0" collapsed="false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</row>
    <row r="903" customFormat="false" ht="15" hidden="false" customHeight="false" outlineLevel="0" collapsed="false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</row>
    <row r="904" customFormat="false" ht="15" hidden="false" customHeight="false" outlineLevel="0" collapsed="false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</row>
    <row r="905" customFormat="false" ht="15" hidden="false" customHeight="false" outlineLevel="0" collapsed="false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</row>
    <row r="906" customFormat="false" ht="15" hidden="false" customHeight="false" outlineLevel="0" collapsed="false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</row>
    <row r="907" customFormat="false" ht="15" hidden="false" customHeight="false" outlineLevel="0" collapsed="false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</row>
    <row r="908" customFormat="false" ht="15" hidden="false" customHeight="false" outlineLevel="0" collapsed="false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</row>
    <row r="909" customFormat="false" ht="15" hidden="false" customHeight="false" outlineLevel="0" collapsed="false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</row>
    <row r="910" customFormat="false" ht="15" hidden="false" customHeight="false" outlineLevel="0" collapsed="false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</row>
    <row r="911" customFormat="false" ht="15" hidden="false" customHeight="false" outlineLevel="0" collapsed="false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</row>
    <row r="912" customFormat="false" ht="15" hidden="false" customHeight="false" outlineLevel="0" collapsed="false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</row>
    <row r="913" customFormat="false" ht="15" hidden="false" customHeight="false" outlineLevel="0" collapsed="false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</row>
    <row r="914" customFormat="false" ht="15" hidden="false" customHeight="false" outlineLevel="0" collapsed="false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</row>
    <row r="915" customFormat="false" ht="15" hidden="false" customHeight="false" outlineLevel="0" collapsed="false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</row>
    <row r="916" customFormat="false" ht="15" hidden="false" customHeight="false" outlineLevel="0" collapsed="false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</row>
    <row r="917" customFormat="false" ht="15" hidden="false" customHeight="false" outlineLevel="0" collapsed="false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</row>
    <row r="918" customFormat="false" ht="15" hidden="false" customHeight="false" outlineLevel="0" collapsed="false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</row>
    <row r="919" customFormat="false" ht="15" hidden="false" customHeight="false" outlineLevel="0" collapsed="false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</row>
    <row r="920" customFormat="false" ht="15" hidden="false" customHeight="false" outlineLevel="0" collapsed="false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</row>
    <row r="921" customFormat="false" ht="15" hidden="false" customHeight="false" outlineLevel="0" collapsed="false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</row>
    <row r="922" customFormat="false" ht="15" hidden="false" customHeight="false" outlineLevel="0" collapsed="false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</row>
    <row r="923" customFormat="false" ht="15" hidden="false" customHeight="false" outlineLevel="0" collapsed="false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</row>
    <row r="924" customFormat="false" ht="15" hidden="false" customHeight="false" outlineLevel="0" collapsed="false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</row>
    <row r="925" customFormat="false" ht="15" hidden="false" customHeight="false" outlineLevel="0" collapsed="false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</row>
    <row r="926" customFormat="false" ht="15" hidden="false" customHeight="false" outlineLevel="0" collapsed="false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</row>
    <row r="927" customFormat="false" ht="15" hidden="false" customHeight="false" outlineLevel="0" collapsed="false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</row>
    <row r="928" customFormat="false" ht="15" hidden="false" customHeight="false" outlineLevel="0" collapsed="false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</row>
    <row r="929" customFormat="false" ht="15" hidden="false" customHeight="false" outlineLevel="0" collapsed="false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</row>
    <row r="930" customFormat="false" ht="15" hidden="false" customHeight="false" outlineLevel="0" collapsed="false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</row>
    <row r="931" customFormat="false" ht="15" hidden="false" customHeight="false" outlineLevel="0" collapsed="false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</row>
    <row r="932" customFormat="false" ht="15" hidden="false" customHeight="false" outlineLevel="0" collapsed="false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</row>
    <row r="933" customFormat="false" ht="15" hidden="false" customHeight="false" outlineLevel="0" collapsed="false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</row>
    <row r="934" customFormat="false" ht="15" hidden="false" customHeight="false" outlineLevel="0" collapsed="false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</row>
    <row r="935" customFormat="false" ht="15" hidden="false" customHeight="false" outlineLevel="0" collapsed="false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</row>
    <row r="936" customFormat="false" ht="15" hidden="false" customHeight="false" outlineLevel="0" collapsed="false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</row>
    <row r="937" customFormat="false" ht="15" hidden="false" customHeight="false" outlineLevel="0" collapsed="false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</row>
    <row r="938" customFormat="false" ht="15" hidden="false" customHeight="false" outlineLevel="0" collapsed="false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</row>
    <row r="939" customFormat="false" ht="15" hidden="false" customHeight="false" outlineLevel="0" collapsed="false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</row>
    <row r="940" customFormat="false" ht="15" hidden="false" customHeight="false" outlineLevel="0" collapsed="false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</row>
    <row r="941" customFormat="false" ht="15" hidden="false" customHeight="false" outlineLevel="0" collapsed="false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</row>
    <row r="942" customFormat="false" ht="15" hidden="false" customHeight="false" outlineLevel="0" collapsed="false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</row>
    <row r="943" customFormat="false" ht="15" hidden="false" customHeight="false" outlineLevel="0" collapsed="false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</row>
    <row r="944" customFormat="false" ht="15" hidden="false" customHeight="false" outlineLevel="0" collapsed="false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</row>
    <row r="945" customFormat="false" ht="15" hidden="false" customHeight="false" outlineLevel="0" collapsed="false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</row>
    <row r="946" customFormat="false" ht="15" hidden="false" customHeight="false" outlineLevel="0" collapsed="false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</row>
    <row r="947" customFormat="false" ht="15" hidden="false" customHeight="false" outlineLevel="0" collapsed="false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</row>
    <row r="948" customFormat="false" ht="15" hidden="false" customHeight="false" outlineLevel="0" collapsed="false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</row>
    <row r="949" customFormat="false" ht="15" hidden="false" customHeight="false" outlineLevel="0" collapsed="false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</row>
    <row r="950" customFormat="false" ht="15" hidden="false" customHeight="false" outlineLevel="0" collapsed="false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</row>
    <row r="951" customFormat="false" ht="15" hidden="false" customHeight="false" outlineLevel="0" collapsed="false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</row>
    <row r="952" customFormat="false" ht="15" hidden="false" customHeight="false" outlineLevel="0" collapsed="false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</row>
    <row r="953" customFormat="false" ht="15" hidden="false" customHeight="false" outlineLevel="0" collapsed="false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</row>
    <row r="954" customFormat="false" ht="15" hidden="false" customHeight="false" outlineLevel="0" collapsed="false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</row>
    <row r="955" customFormat="false" ht="15" hidden="false" customHeight="false" outlineLevel="0" collapsed="false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</row>
    <row r="956" customFormat="false" ht="15" hidden="false" customHeight="false" outlineLevel="0" collapsed="false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</row>
    <row r="957" customFormat="false" ht="15" hidden="false" customHeight="false" outlineLevel="0" collapsed="false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</row>
    <row r="958" customFormat="false" ht="15" hidden="false" customHeight="false" outlineLevel="0" collapsed="false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</row>
    <row r="959" customFormat="false" ht="15" hidden="false" customHeight="false" outlineLevel="0" collapsed="false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</row>
    <row r="960" customFormat="false" ht="15" hidden="false" customHeight="false" outlineLevel="0" collapsed="false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</row>
    <row r="961" customFormat="false" ht="15" hidden="false" customHeight="false" outlineLevel="0" collapsed="false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</row>
    <row r="962" customFormat="false" ht="15" hidden="false" customHeight="false" outlineLevel="0" collapsed="false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</row>
    <row r="963" customFormat="false" ht="15" hidden="false" customHeight="false" outlineLevel="0" collapsed="false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</row>
    <row r="964" customFormat="false" ht="15" hidden="false" customHeight="false" outlineLevel="0" collapsed="false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</row>
    <row r="965" customFormat="false" ht="15" hidden="false" customHeight="false" outlineLevel="0" collapsed="false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</row>
    <row r="966" customFormat="false" ht="15" hidden="false" customHeight="false" outlineLevel="0" collapsed="false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</row>
    <row r="967" customFormat="false" ht="15" hidden="false" customHeight="false" outlineLevel="0" collapsed="false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</row>
    <row r="968" customFormat="false" ht="15" hidden="false" customHeight="false" outlineLevel="0" collapsed="false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</row>
    <row r="969" customFormat="false" ht="15" hidden="false" customHeight="false" outlineLevel="0" collapsed="false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</row>
    <row r="970" customFormat="false" ht="15" hidden="false" customHeight="false" outlineLevel="0" collapsed="false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</row>
    <row r="971" customFormat="false" ht="15" hidden="false" customHeight="false" outlineLevel="0" collapsed="false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</row>
    <row r="972" customFormat="false" ht="15" hidden="false" customHeight="false" outlineLevel="0" collapsed="false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</row>
    <row r="973" customFormat="false" ht="15" hidden="false" customHeight="false" outlineLevel="0" collapsed="false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</row>
    <row r="974" customFormat="false" ht="15" hidden="false" customHeight="false" outlineLevel="0" collapsed="false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</row>
    <row r="975" customFormat="false" ht="15" hidden="false" customHeight="false" outlineLevel="0" collapsed="false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</row>
    <row r="976" customFormat="false" ht="15" hidden="false" customHeight="false" outlineLevel="0" collapsed="false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</row>
    <row r="977" customFormat="false" ht="15" hidden="false" customHeight="false" outlineLevel="0" collapsed="false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</row>
    <row r="978" customFormat="false" ht="15" hidden="false" customHeight="false" outlineLevel="0" collapsed="false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</row>
    <row r="979" customFormat="false" ht="15" hidden="false" customHeight="false" outlineLevel="0" collapsed="false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</row>
    <row r="980" customFormat="false" ht="15" hidden="false" customHeight="false" outlineLevel="0" collapsed="false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</row>
    <row r="981" customFormat="false" ht="15" hidden="false" customHeight="false" outlineLevel="0" collapsed="false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</row>
    <row r="982" customFormat="false" ht="15" hidden="false" customHeight="false" outlineLevel="0" collapsed="false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</row>
    <row r="983" customFormat="false" ht="15" hidden="false" customHeight="false" outlineLevel="0" collapsed="false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</row>
    <row r="984" customFormat="false" ht="15" hidden="false" customHeight="false" outlineLevel="0" collapsed="false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</row>
    <row r="985" customFormat="false" ht="15" hidden="false" customHeight="false" outlineLevel="0" collapsed="false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</row>
    <row r="986" customFormat="false" ht="15" hidden="false" customHeight="false" outlineLevel="0" collapsed="false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</row>
    <row r="987" customFormat="false" ht="15" hidden="false" customHeight="false" outlineLevel="0" collapsed="false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</row>
    <row r="988" customFormat="false" ht="15" hidden="false" customHeight="false" outlineLevel="0" collapsed="false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</row>
    <row r="989" customFormat="false" ht="15" hidden="false" customHeight="false" outlineLevel="0" collapsed="false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</row>
    <row r="990" customFormat="false" ht="15" hidden="false" customHeight="false" outlineLevel="0" collapsed="false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</row>
    <row r="991" customFormat="false" ht="15" hidden="false" customHeight="false" outlineLevel="0" collapsed="false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</row>
    <row r="992" customFormat="false" ht="15" hidden="false" customHeight="false" outlineLevel="0" collapsed="false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</row>
  </sheetData>
  <mergeCells count="10">
    <mergeCell ref="A1:H1"/>
    <mergeCell ref="A5:A6"/>
    <mergeCell ref="E5:E6"/>
    <mergeCell ref="F5:F6"/>
    <mergeCell ref="G5:G6"/>
    <mergeCell ref="A9:A10"/>
    <mergeCell ref="E9:E10"/>
    <mergeCell ref="F9:F10"/>
    <mergeCell ref="G9:G10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2025-08-18T16:23:07Z</dcterms:created>
  <dc:creator>openpyxl</dc:creator>
  <dc:description/>
  <dc:language>en-US</dc:language>
  <cp:lastModifiedBy/>
  <dcterms:modified xsi:type="dcterms:W3CDTF">2026-09-23T15:33:04Z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